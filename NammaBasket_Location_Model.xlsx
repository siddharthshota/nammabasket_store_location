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commendation" sheetId="2" state="visible" r:id="rId4"/>
    <sheet name="Assumptions" sheetId="3" state="visible" r:id="rId5"/>
    <sheet name="Weights" sheetId="4" state="visible" r:id="rId6"/>
    <sheet name="Candidates" sheetId="5" state="visible" r:id="rId7"/>
    <sheet name="Existing_Stores" sheetId="6" state="visible" r:id="rId8"/>
    <sheet name="Distances" sheetId="7" state="visible" r:id="rId9"/>
    <sheet name="Model" sheetId="8" state="visible" r:id="rId10"/>
    <sheet name="Cashflows" sheetId="9" state="visible" r:id="rId11"/>
    <sheet name="Scor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<sst xmlns="http://schemas.openxmlformats.org/spreadsheetml/2006/main" count="335" uniqueCount="268">
  <si>
    <t xml:space="preserve">NammaBasket Store Location Prototype</t>
  </si>
  <si>
    <t xml:space="preserve">Where should the next store open? Multi-criteria + unit-economics model (fictional chain, Bengaluru)</t>
  </si>
  <si>
    <t xml:space="preserve">Purpose</t>
  </si>
  <si>
    <t xml:space="preserve">Compare 8 shortlisted neighbourhoods and recommend which to open within a capex budget, with reasons and trade-offs.</t>
  </si>
  <si>
    <t xml:space="preserve">Journey</t>
  </si>
  <si>
    <t xml:space="preserve">Inputs (Candidates, Existing_Stores, Assumptions, Weights) -&gt; Model (demand, cannibalisation, P&amp;L) -&gt; Cashflows (9-yr NPV) -&gt; Scoring (0-100) -&gt; Recommendation.</t>
  </si>
  <si>
    <t xml:space="preserve">Decision logic</t>
  </si>
  <si>
    <t xml:space="preserve">1) Financial gate: payback &lt;= max payback AND 9-yr NPV &gt; 0.  2) Rank gate-passers by weighted score.  3) Pick greedily within capex budget, skipping sites closer than the min pair distance to an already-picked site.</t>
  </si>
  <si>
    <t xml:space="preserve">Colour legend</t>
  </si>
  <si>
    <t xml:space="preserve">Blue text = input you can change. Black = formula. Green = link to another sheet. Yellow fill = key assumption.</t>
  </si>
  <si>
    <t xml:space="preserve">How to use</t>
  </si>
  <si>
    <t xml:space="preserve">Change any blue cell (e.g. a weight on Weights, rent on Candidates, budget on Assumptions). Everything recalculates, including the recommendation.</t>
  </si>
  <si>
    <t xml:space="preserve">Example edit</t>
  </si>
  <si>
    <t xml:space="preserve">Set Weights!C6 (Competition) to 20% and Weights!C4 (Demand) to 10%: Sarjapur Road overtakes Whitefield for slot 2.</t>
  </si>
  <si>
    <t xml:space="preserve">Data</t>
  </si>
  <si>
    <t xml:space="preserve">Locality data is SYNTHETIC but calibrated to public benchmarks (see Assumptions column D). Existing-store sales are synthetic "actuals" used to calibrate the demand model.</t>
  </si>
  <si>
    <t xml:space="preserve">Units</t>
  </si>
  <si>
    <t xml:space="preserve">Sales, EBITDA, capex, NPV in Rs crore (1 Cr = 10 million). Rent in Rs per sq ft per month. Income in Rs per household per month.</t>
  </si>
  <si>
    <t xml:space="preserve">Recommendation: where to open next</t>
  </si>
  <si>
    <t xml:space="preserve">Gate -&gt; rank by weighted score -&gt; pick within budget, keeping new stores apart. Updates live when any blue input changes.</t>
  </si>
  <si>
    <t xml:space="preserve">RECOMMENDED SITES</t>
  </si>
  <si>
    <t xml:space="preserve">Capex committed / budget (Rs Cr)</t>
  </si>
  <si>
    <t xml:space="preserve">Combined 9-yr NPV (Rs Cr)</t>
  </si>
  <si>
    <t xml:space="preserve">Rank</t>
  </si>
  <si>
    <t xml:space="preserve">Location</t>
  </si>
  <si>
    <t xml:space="preserve">Weighted score</t>
  </si>
  <si>
    <t xml:space="preserve">Passes gate</t>
  </si>
  <si>
    <t xml:space="preserve">Gross sales (Rs Cr)</t>
  </si>
  <si>
    <t xml:space="preserve">9-yr NPV (Rs Cr)</t>
  </si>
  <si>
    <t xml:space="preserve">Payback (yrs)</t>
  </si>
  <si>
    <t xml:space="preserve">Capex (Rs Cr)</t>
  </si>
  <si>
    <t xml:space="preserve">Cannibalisation</t>
  </si>
  <si>
    <t xml:space="preserve">Min km to earlier pick</t>
  </si>
  <si>
    <t xml:space="preserve">Capex before this site</t>
  </si>
  <si>
    <t xml:space="preserve">Selected (1/0)</t>
  </si>
  <si>
    <t xml:space="preserve">Verdict</t>
  </si>
  <si>
    <t xml:space="preserve">Strongest</t>
  </si>
  <si>
    <t xml:space="preserve">Weakest</t>
  </si>
  <si>
    <t xml:space="preserve">Pick #</t>
  </si>
  <si>
    <t xml:space="preserve">How to read: green rows are recommended. Pink rows fail the financial gate, however attractive their footfall or income looks.</t>
  </si>
  <si>
    <t xml:space="preserve">Footfall trap: compare Marathahalli (highest footfall) with its NPV. Mostly commuter footfall with a low entry rate, high rent and 7 competitors.</t>
  </si>
  <si>
    <t xml:space="preserve">Cannibalisation trap: Bellandur and Hebbal have strong gross sales, but 15-20% would come from our own HSR Layout / Malleshwaram stores.</t>
  </si>
  <si>
    <t xml:space="preserve">Close call for slot 2: Whitefield (biggest sales, 7 competitors, high rent) vs Sarjapur Road (fastest growth, cheaper rent, poorer access). Shift weight to competition to see the flip.</t>
  </si>
  <si>
    <t xml:space="preserve">Assumptions and scenario levers</t>
  </si>
  <si>
    <t xml:space="preserve">Blue = editable. Sources / rationale in column D.</t>
  </si>
  <si>
    <t xml:space="preserve">Assumption</t>
  </si>
  <si>
    <t xml:space="preserve">Value</t>
  </si>
  <si>
    <t xml:space="preserve">Unit</t>
  </si>
  <si>
    <t xml:space="preserve">Source / rationale</t>
  </si>
  <si>
    <t xml:space="preserve">Average household size</t>
  </si>
  <si>
    <t xml:space="preserve">persons</t>
  </si>
  <si>
    <t xml:space="preserve">Census 2011 urban Bengaluru: majority of households have 4 or fewer members; ~3.8 used.</t>
  </si>
  <si>
    <t xml:space="preserve">Grocery + FMCG wallet as % of household income</t>
  </si>
  <si>
    <t xml:space="preserve">%</t>
  </si>
  <si>
    <t xml:space="preserve">HCES 2023-24: food is ~39.7% of urban consumption; consumption ~35-40% of income for affluent Bengaluru households -&gt; ~14%.</t>
  </si>
  <si>
    <t xml:space="preserve">Organised-retail share of wallet: base</t>
  </si>
  <si>
    <t xml:space="preserve">Assumption: organised + online share rises with income.</t>
  </si>
  <si>
    <t xml:space="preserve">Organised share: increase per Rs 1,000 income</t>
  </si>
  <si>
    <t xml:space="preserve">% per Rs 000</t>
  </si>
  <si>
    <t xml:space="preserve">Assumption. Rs 1 lakh income -&gt; 30% organised share.</t>
  </si>
  <si>
    <t xml:space="preserve">Organised share cap</t>
  </si>
  <si>
    <t xml:space="preserve">Assumption.</t>
  </si>
  <si>
    <t xml:space="preserve">Quick-commerce pull (equivalent competitor stores)</t>
  </si>
  <si>
    <t xml:space="preserve">stores</t>
  </si>
  <si>
    <t xml:space="preserve">Assumption: Blinkit/Zepto/Instamart dark stores act like ~1.5 extra competitors in every catchment.</t>
  </si>
  <si>
    <t xml:space="preserve">Accessibility normaliser (score that equals one average competitor)</t>
  </si>
  <si>
    <t xml:space="preserve">score</t>
  </si>
  <si>
    <t xml:space="preserve">Assumption: a site scoring 7/10 is as attractive as one competitor.</t>
  </si>
  <si>
    <t xml:space="preserve">Store entry rate: resident footfall</t>
  </si>
  <si>
    <t xml:space="preserve">Assumption, tuned on existing stores.</t>
  </si>
  <si>
    <t xml:space="preserve">Store entry rate: transit footfall</t>
  </si>
  <si>
    <t xml:space="preserve">Assumption: commuters passing a site rarely stop for groceries. This is why footfall != sales.</t>
  </si>
  <si>
    <t xml:space="preserve">Conversion: entrants who buy</t>
  </si>
  <si>
    <t xml:space="preserve">Assumption, typical supermarket walk-in conversion.</t>
  </si>
  <si>
    <t xml:space="preserve">Average bill: base</t>
  </si>
  <si>
    <t xml:space="preserve">Rs</t>
  </si>
  <si>
    <t xml:space="preserve">Average bill: increase per Rs 1,000 income</t>
  </si>
  <si>
    <t xml:space="preserve">Assumption. Rs 1 lakh income -&gt; Rs 600 bill.</t>
  </si>
  <si>
    <t xml:space="preserve">Weight on wallet method (vs footfall method)</t>
  </si>
  <si>
    <t xml:space="preserve">Equal blend of two independent estimates.</t>
  </si>
  <si>
    <t xml:space="preserve">Trading days per year</t>
  </si>
  <si>
    <t xml:space="preserve">days</t>
  </si>
  <si>
    <t xml:space="preserve">Standard store size</t>
  </si>
  <si>
    <t xml:space="preserve">sq ft</t>
  </si>
  <si>
    <t xml:space="preserve">Mid-format supermarket; held constant so sites compare like-for-like.</t>
  </si>
  <si>
    <t xml:space="preserve">Gross margin</t>
  </si>
  <si>
    <t xml:space="preserve">Assumption for mid-format grocery (value players such as DMart run ~15%).</t>
  </si>
  <si>
    <t xml:space="preserve">Staff cost per store per year</t>
  </si>
  <si>
    <t xml:space="preserve">~45 staff x ~Rs 20,000/month.</t>
  </si>
  <si>
    <t xml:space="preserve">Other fixed opex (power, security, maintenance)</t>
  </si>
  <si>
    <t xml:space="preserve">Rs/yr</t>
  </si>
  <si>
    <t xml:space="preserve">Variable opex (shrinkage, packaging, payments, marketing)</t>
  </si>
  <si>
    <t xml:space="preserve">% of sales</t>
  </si>
  <si>
    <t xml:space="preserve">Assumption. Yields store EBITDA of ~3-7% of sales, in line with Indian grocery.</t>
  </si>
  <si>
    <t xml:space="preserve">Fit-out capex</t>
  </si>
  <si>
    <t xml:space="preserve">Rs/sq ft</t>
  </si>
  <si>
    <t xml:space="preserve">Security deposit</t>
  </si>
  <si>
    <t xml:space="preserve">months rent</t>
  </si>
  <si>
    <t xml:space="preserve">Common Bengaluru commercial practice (6-10 months). Treated as cash out (conservative).</t>
  </si>
  <si>
    <t xml:space="preserve">Opening inventory</t>
  </si>
  <si>
    <t xml:space="preserve">Rent escalation per year</t>
  </si>
  <si>
    <t xml:space="preserve">Typical 15% every 3 years ~ 5% p.a.</t>
  </si>
  <si>
    <t xml:space="preserve">Staff / fixed cost inflation per year</t>
  </si>
  <si>
    <t xml:space="preserve">Sales ramp: year 1 (% of mature)</t>
  </si>
  <si>
    <t xml:space="preserve">Sales ramp: year 2</t>
  </si>
  <si>
    <t xml:space="preserve">Sales ramp: year 3 onwards</t>
  </si>
  <si>
    <t xml:space="preserve">Discount rate (WACC)</t>
  </si>
  <si>
    <t xml:space="preserve">Assumption. NPV horizon = 9-year lease, no terminal value.</t>
  </si>
  <si>
    <t xml:space="preserve">Max cannibalisation (new store next door)</t>
  </si>
  <si>
    <t xml:space="preserve">% of new sales</t>
  </si>
  <si>
    <t xml:space="preserve">Assumption: share of new-store sales that would have been bought at our nearest existing store.</t>
  </si>
  <si>
    <t xml:space="preserve">Cannibalisation fades to zero at</t>
  </si>
  <si>
    <t xml:space="preserve">km</t>
  </si>
  <si>
    <t xml:space="preserve">Assumption: linear decay with distance.</t>
  </si>
  <si>
    <t xml:space="preserve">Capex budget for this expansion round</t>
  </si>
  <si>
    <t xml:space="preserve">Management constraint (enough for ~2 stores).</t>
  </si>
  <si>
    <t xml:space="preserve">Financial gate: max payback</t>
  </si>
  <si>
    <t xml:space="preserve">years</t>
  </si>
  <si>
    <t xml:space="preserve">Management hurdle.</t>
  </si>
  <si>
    <t xml:space="preserve">Min distance between two new picks</t>
  </si>
  <si>
    <t xml:space="preserve">Avoid new stores cannibalising each other.</t>
  </si>
  <si>
    <t xml:space="preserve">Public benchmarks used for calibration</t>
  </si>
  <si>
    <t xml:space="preserve">MoSPI HCES 2023-24: urban average MPCE Rs 6,996; food share of urban MPCE ~39.7%. https://www.mospi.gov.in/sites/default/files/press_release/HCES_Report202324_Press_Note_30012025.pdf</t>
  </si>
  <si>
    <t xml:space="preserve">Census 2011: BBMP population ~8.44 million (198 wards). Ward-wise data: https://data.opencity.in/dataset/bengaluru-census-2011</t>
  </si>
  <si>
    <t xml:space="preserve">Bengaluru high-street retail rent Rs 176-326 /sq ft/month (2025); neighbourhood commercial Rs 45-180. https://apparelresources.com/business-news/retail/apparel-drives-25-retail-leasing-top-7-cities/</t>
  </si>
  <si>
    <t xml:space="preserve">Grocery store productivity: DMart revenue ~Rs 31,000-35,000 per sq ft per year, EBIT ~7-8%. https://tradebrains.in/how-did-dmart-become-the-most-profitable-retail-grocery-store-in-india/</t>
  </si>
  <si>
    <t xml:space="preserve">Scoring weights (must total 100%)</t>
  </si>
  <si>
    <t xml:space="preserve">Blue = editable. Each criterion is scaled 0-100 across the 8 candidates (min-max).</t>
  </si>
  <si>
    <t xml:space="preserve">Key</t>
  </si>
  <si>
    <t xml:space="preserve">Criterion</t>
  </si>
  <si>
    <t xml:space="preserve">Weight</t>
  </si>
  <si>
    <t xml:space="preserve">Direction</t>
  </si>
  <si>
    <t xml:space="preserve">Metric used</t>
  </si>
  <si>
    <t xml:space="preserve">Why it matters</t>
  </si>
  <si>
    <t xml:space="preserve">demand</t>
  </si>
  <si>
    <t xml:space="preserve">Demand potential</t>
  </si>
  <si>
    <t xml:space="preserve">Higher better</t>
  </si>
  <si>
    <t xml:space="preserve">Calibrated gross sales (Rs Cr)</t>
  </si>
  <si>
    <t xml:space="preserve">Size of the prize.</t>
  </si>
  <si>
    <t xml:space="preserve">profit</t>
  </si>
  <si>
    <t xml:space="preserve">Profitability</t>
  </si>
  <si>
    <t xml:space="preserve">9-yr NPV after cannibalisation (Rs Cr)</t>
  </si>
  <si>
    <t xml:space="preserve">Turns footfall into money: captures rent, ramp-up and lost sales at existing stores.</t>
  </si>
  <si>
    <t xml:space="preserve">competition</t>
  </si>
  <si>
    <t xml:space="preserve">Competition intensity</t>
  </si>
  <si>
    <t xml:space="preserve">Lower better</t>
  </si>
  <si>
    <t xml:space="preserve">Organised grocery stores within 2 km</t>
  </si>
  <si>
    <t xml:space="preserve">Price wars and share risk.</t>
  </si>
  <si>
    <t xml:space="preserve">rent</t>
  </si>
  <si>
    <t xml:space="preserve">Rent burden</t>
  </si>
  <si>
    <t xml:space="preserve">Rent as % of sales</t>
  </si>
  <si>
    <t xml:space="preserve">Rent is the largest fixed cost and is locked in for 9 years.</t>
  </si>
  <si>
    <t xml:space="preserve">access</t>
  </si>
  <si>
    <t xml:space="preserve">Accessibility</t>
  </si>
  <si>
    <t xml:space="preserve">Composite score 1-10 (metro, parking, road congestion)</t>
  </si>
  <si>
    <t xml:space="preserve">Drives repeat visits and basket size.</t>
  </si>
  <si>
    <t xml:space="preserve">cannib</t>
  </si>
  <si>
    <t xml:space="preserve">Share of new sales taken from our nearest store</t>
  </si>
  <si>
    <t xml:space="preserve">Gross sales overstate value if they come from ourselves.</t>
  </si>
  <si>
    <t xml:space="preserve">growth</t>
  </si>
  <si>
    <t xml:space="preserve">Catchment growth</t>
  </si>
  <si>
    <t xml:space="preserve">Population growth % p.a.</t>
  </si>
  <si>
    <t xml:space="preserve">Future-proofs the lease.</t>
  </si>
  <si>
    <t xml:space="preserve">Total</t>
  </si>
  <si>
    <t xml:space="preserve">Shortlisted candidate locations (inputs)</t>
  </si>
  <si>
    <t xml:space="preserve">Synthetic, calibrated to public benchmarks. Coordinates are real locality centroids (approx.).</t>
  </si>
  <si>
    <t xml:space="preserve">Latitude</t>
  </si>
  <si>
    <t xml:space="preserve">Longitude</t>
  </si>
  <si>
    <t xml:space="preserve">Population within 1.5 km</t>
  </si>
  <si>
    <t xml:space="preserve">Median household income (Rs/month)</t>
  </si>
  <si>
    <t xml:space="preserve">Daily footfall past site</t>
  </si>
  <si>
    <t xml:space="preserve">Resident share of footfall</t>
  </si>
  <si>
    <t xml:space="preserve">Organised competitors within 2 km</t>
  </si>
  <si>
    <t xml:space="preserve">Rent (Rs/sq ft/month)</t>
  </si>
  <si>
    <t xml:space="preserve">Accessibility (1-10)</t>
  </si>
  <si>
    <t xml:space="preserve">Catchment growth (% p.a.)</t>
  </si>
  <si>
    <t xml:space="preserve">Whitefield</t>
  </si>
  <si>
    <t xml:space="preserve">Marathahalli</t>
  </si>
  <si>
    <t xml:space="preserve">Bellandur</t>
  </si>
  <si>
    <t xml:space="preserve">Sarjapur Road</t>
  </si>
  <si>
    <t xml:space="preserve">Hebbal</t>
  </si>
  <si>
    <t xml:space="preserve">Electronic City</t>
  </si>
  <si>
    <t xml:space="preserve">Kanakapura Road</t>
  </si>
  <si>
    <t xml:space="preserve">Yelahanka</t>
  </si>
  <si>
    <t xml:space="preserve">Example row format: Whitefield | 12.9698 | 77.7500 | 105,000 | 125,000 | 24,000 | 35% | 7 | 145 | 8 | 4.5%</t>
  </si>
  <si>
    <t xml:space="preserve">Footfall = people passing the site per day (pedestrian + stopping vehicles). Resident share separates locals from commuters/transit.</t>
  </si>
  <si>
    <t xml:space="preserve">Existing stores: comparable performance and model calibration</t>
  </si>
  <si>
    <t xml:space="preserve">Same demand formulas as the Model sheet are run on existing stores; calibration factor = actual / predicted.</t>
  </si>
  <si>
    <t xml:space="preserve">Actual annual sales (Rs Cr)</t>
  </si>
  <si>
    <t xml:space="preserve">Wallet method (Rs Cr)</t>
  </si>
  <si>
    <t xml:space="preserve">Footfall method (Rs Cr)</t>
  </si>
  <si>
    <t xml:space="preserve">Blended prediction (Rs Cr)</t>
  </si>
  <si>
    <t xml:space="preserve">Calibrated prediction (Rs Cr)</t>
  </si>
  <si>
    <t xml:space="preserve">Abs % error</t>
  </si>
  <si>
    <t xml:space="preserve">Koramangala</t>
  </si>
  <si>
    <t xml:space="preserve">Indiranagar</t>
  </si>
  <si>
    <t xml:space="preserve">Jayanagar</t>
  </si>
  <si>
    <t xml:space="preserve">Malleshwaram</t>
  </si>
  <si>
    <t xml:space="preserve">HSR Layout</t>
  </si>
  <si>
    <t xml:space="preserve">Rajajinagar</t>
  </si>
  <si>
    <t xml:space="preserve">Calibration factor (actual / predicted)</t>
  </si>
  <si>
    <t xml:space="preserve">Mean absolute % error after calibration</t>
  </si>
  <si>
    <t xml:space="preserve">Read: the raw model under-predicts mature stores (they have loyalty the formula cannot see), so candidate sales are scaled by the factor. Error after calibration is the model's credibility check.</t>
  </si>
  <si>
    <t xml:space="preserve">Distances (km, haversine from coordinates)</t>
  </si>
  <si>
    <t xml:space="preserve">Top: candidate to each existing store. Bottom: candidate to candidate (used to stop two new picks cannibalising each other).</t>
  </si>
  <si>
    <t xml:space="preserve">Candidate</t>
  </si>
  <si>
    <t xml:space="preserve">Nearest existing store</t>
  </si>
  <si>
    <t xml:space="preserve">Distance (km)</t>
  </si>
  <si>
    <t xml:space="preserve">Model: demand, cannibalisation and store P&amp;L (mature year, Rs Cr)</t>
  </si>
  <si>
    <t xml:space="preserve">All formulas. Change inputs on Candidates / Assumptions.</t>
  </si>
  <si>
    <t xml:space="preserve">Households</t>
  </si>
  <si>
    <t xml:space="preserve">Grocery wallet / HH / month (Rs)</t>
  </si>
  <si>
    <t xml:space="preserve">Organised share</t>
  </si>
  <si>
    <t xml:space="preserve">Access factor</t>
  </si>
  <si>
    <t xml:space="preserve">Our fair share</t>
  </si>
  <si>
    <t xml:space="preserve">Wallet method sales</t>
  </si>
  <si>
    <t xml:space="preserve">Avg bill (Rs)</t>
  </si>
  <si>
    <t xml:space="preserve">Bills per day</t>
  </si>
  <si>
    <t xml:space="preserve">Footfall method sales</t>
  </si>
  <si>
    <t xml:space="preserve">Estimate divergence</t>
  </si>
  <si>
    <t xml:space="preserve">Gross sales (calibrated)</t>
  </si>
  <si>
    <t xml:space="preserve">Sales per sq ft (Rs)</t>
  </si>
  <si>
    <t xml:space="preserve">Cannibalisation %</t>
  </si>
  <si>
    <t xml:space="preserve">Net incremental sales</t>
  </si>
  <si>
    <t xml:space="preserve">Rent (Rs Cr/yr)</t>
  </si>
  <si>
    <t xml:space="preserve">Rent % of sales</t>
  </si>
  <si>
    <t xml:space="preserve">Store EBITDA</t>
  </si>
  <si>
    <t xml:space="preserve">Contribution lost at existing store</t>
  </si>
  <si>
    <t xml:space="preserve">Incremental EBITDA to chain</t>
  </si>
  <si>
    <t xml:space="preserve">Capex incl. deposit + inventory</t>
  </si>
  <si>
    <t xml:space="preserve">9-yr NPV</t>
  </si>
  <si>
    <t xml:space="preserve">Passes financial gate?</t>
  </si>
  <si>
    <t xml:space="preserve">Two independent demand estimates: Wallet method (households x grocery wallet x organised share x our fair share vs competitors and quick commerce) and Footfall method (passers-by x entry rate x conversion x bill). Large divergence = estimate risk; validate on site.</t>
  </si>
  <si>
    <t xml:space="preserve">Incremental EBITDA = store EBITDA minus the contribution our nearest existing store loses to the new one. This is the number that matters to the chain.</t>
  </si>
  <si>
    <t xml:space="preserve">9-year incremental cash flow to the chain (Rs Cr)</t>
  </si>
  <si>
    <t xml:space="preserve">Sales ramp + catchment growth; rent escalates; staff/fixed costs inflate; cannibalisation deducted. No terminal value (conservative).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</si>
  <si>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</si>
  <si>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</si>
  <si>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</si>
  <si>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</si>
  <si>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</si>
  <si>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</si>
  <si>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</si>
  <si>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</si>
  <si>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</si>
  <si>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PV of cash flows</t>
  </si>
  <si>
    <t xml:space="preserve">NPV (after capex)</t>
  </si>
  <si>
    <t xml:space="preserve">Multi-criteria scoring (0-100 per criterion, min-max across candidates)</t>
  </si>
  <si>
    <t xml:space="preserve">Row 3 = weights linked from Weights sheet.</t>
  </si>
  <si>
    <t xml:space="preserve">Weights -&gt;</t>
  </si>
  <si>
    <t xml:space="preserve">Demand (raw)</t>
  </si>
  <si>
    <t xml:space="preserve">Profitability (raw)</t>
  </si>
  <si>
    <t xml:space="preserve">Competition (raw)</t>
  </si>
  <si>
    <t xml:space="preserve">Rent burden (raw)</t>
  </si>
  <si>
    <t xml:space="preserve">Accessibility (raw)</t>
  </si>
  <si>
    <t xml:space="preserve">Cannibalisation (raw)</t>
  </si>
  <si>
    <t xml:space="preserve">Growth (raw)</t>
  </si>
  <si>
    <t xml:space="preserve">Demand score</t>
  </si>
  <si>
    <t xml:space="preserve">Profitability score</t>
  </si>
  <si>
    <t xml:space="preserve">Competition score</t>
  </si>
  <si>
    <t xml:space="preserve">Rent burden score</t>
  </si>
  <si>
    <t xml:space="preserve">Accessibility score</t>
  </si>
  <si>
    <t xml:space="preserve">Cannibalisation score</t>
  </si>
  <si>
    <t xml:space="preserve">Growth score</t>
  </si>
  <si>
    <t xml:space="preserve">Gate</t>
  </si>
  <si>
    <t xml:space="preserve">Rank key</t>
  </si>
  <si>
    <t xml:space="preserve">Strongest criterion</t>
  </si>
  <si>
    <t xml:space="preserve">Weakest criterion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</si>
</sst>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"/>
    <numFmt numFmtId="167" formatCode="0.00;\(0.00\)"/>
    <numFmt numFmtId="168" formatCode="0%"/>
    <numFmt numFmtId="169" formatCode="General"/>
    <numFmt numFmtId="170" formatCode="0.0%"/>
    <numFmt numFmtId="171" formatCode="0.00%"/>
    <numFmt numFmtId="172" formatCode="#,##0"/>
    <numFmt numFmtId="173" formatCode="0"/>
    <numFmt numFmtId="174" formatCode="0.0000"/>
    <numFmt numFmtId="17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CE4E4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38"/>
    <col collapsed="false" customWidth="true" hidden="false" outlineLevel="0" max="15" min="14" style="0" width="18"/>
    <col collapsed="false" customWidth="true" hidden="false" outlineLevel="0" max="16" min="16" style="0" width="7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6.15" hidden="false" customHeight="false" outlineLevel="0" collapsed="false">
      <c r="A3" s="5" t="s">
        <v>20</v>
      </c>
      <c r="C3" s="6" t="str">
        <f aca="false">IFERROR(INDEX($B$7:$B$14,MATCH(1,$P$7:$P$14,0)),"None")&amp;IFERROR("  +  "&amp;INDEX($B$7:$B$14,MATCH(2,$P$7:$P$14,0)),"")&amp;IFERROR("  +  "&amp;INDEX($B$7:$B$14,MATCH(3,$P$7:$P$14,0)),"")</f>
        <v>Kanakapura Road  +  Whitefield</v>
      </c>
      <c r="D3" s="6"/>
      <c r="E3" s="6"/>
      <c r="F3" s="6"/>
      <c r="G3" s="6"/>
      <c r="H3" s="6"/>
    </row>
    <row r="4" customFormat="false" ht="15" hidden="false" customHeight="false" outlineLevel="0" collapsed="false">
      <c r="A4" s="5" t="s">
        <v>21</v>
      </c>
      <c r="C4" s="7" t="n">
        <f aca="false">SUMPRODUCT(L7:L14,H7:H14)</f>
        <v>7.26</v>
      </c>
      <c r="D4" s="8" t="n">
        <f aca="false">Assumptions!$B$34/10^7</f>
        <v>8</v>
      </c>
      <c r="E4" s="5" t="s">
        <v>22</v>
      </c>
      <c r="G4" s="9" t="n">
        <f aca="false">SUMPRODUCT(L7:L14,F7:F14)</f>
        <v>8.65441180325269</v>
      </c>
    </row>
    <row r="6" customFormat="false" ht="45" hidden="false" customHeight="true" outlineLevel="0" collapsed="false">
      <c r="A6" s="10" t="s">
        <v>23</v>
      </c>
      <c r="B6" s="10" t="s">
        <v>24</v>
      </c>
      <c r="C6" s="10" t="s">
        <v>25</v>
      </c>
      <c r="D6" s="10" t="s">
        <v>26</v>
      </c>
      <c r="E6" s="10" t="s">
        <v>27</v>
      </c>
      <c r="F6" s="10" t="s">
        <v>28</v>
      </c>
      <c r="G6" s="10" t="s">
        <v>29</v>
      </c>
      <c r="H6" s="10" t="s">
        <v>30</v>
      </c>
      <c r="I6" s="10" t="s">
        <v>31</v>
      </c>
      <c r="J6" s="10" t="s">
        <v>32</v>
      </c>
      <c r="K6" s="10" t="s">
        <v>33</v>
      </c>
      <c r="L6" s="10" t="s">
        <v>34</v>
      </c>
      <c r="M6" s="10" t="s">
        <v>35</v>
      </c>
      <c r="N6" s="10" t="s">
        <v>36</v>
      </c>
      <c r="O6" s="10" t="s">
        <v>37</v>
      </c>
      <c r="P6" s="10" t="s">
        <v>38</v>
      </c>
    </row>
    <row r="7" customFormat="false" ht="15" hidden="false" customHeight="false" outlineLevel="0" collapsed="false">
      <c r="A7" s="5" t="n">
        <v>1</v>
      </c>
      <c r="B7" s="5" t="str">
        <f aca="false">INDEX(Scoring!$A$5:$A$12,MATCH($A7,Scoring!$S$5:$S$12,0))</f>
        <v>Kanakapura Road</v>
      </c>
      <c r="C7" s="11" t="n">
        <f aca="false">INDEX(Scoring!$P$5:$P$12,MATCH($A7,Scoring!$S$5:$S$12,0))</f>
        <v>87.2268363438425</v>
      </c>
      <c r="D7" s="12" t="str">
        <f aca="false">INDEX(Scoring!$Q$5:$Q$12,MATCH($A7,Scoring!$S$5:$S$12,0))</f>
        <v>Yes</v>
      </c>
      <c r="E7" s="11" t="n">
        <f aca="false">INDEX(Model!$L$5:$L$12,MATCH($A7,Scoring!$S$5:$S$12,0))</f>
        <v>29.4743725248482</v>
      </c>
      <c r="F7" s="13" t="n">
        <f aca="false">INDEX(Model!$Y$5:$Y$12,MATCH($A7,Scoring!$S$5:$S$12,0))</f>
        <v>5.96942089447559</v>
      </c>
      <c r="G7" s="11" t="n">
        <f aca="false">INDEX(Model!$X$5:$X$12,MATCH($A7,Scoring!$S$5:$S$12,0))</f>
        <v>1.98438670448537</v>
      </c>
      <c r="H7" s="7" t="n">
        <f aca="false">INDEX(Model!$W$5:$W$12,MATCH($A7,Scoring!$S$5:$S$12,0))</f>
        <v>3.39</v>
      </c>
      <c r="I7" s="14" t="n">
        <f aca="false">INDEX(Model!$P$5:$P$12,MATCH($A7,Scoring!$S$5:$S$12,0))</f>
        <v>0.111869053183063</v>
      </c>
      <c r="J7" s="11" t="n">
        <v>999</v>
      </c>
      <c r="K7" s="7" t="n">
        <f aca="false">0</f>
        <v>0</v>
      </c>
      <c r="L7" s="5" t="n">
        <f aca="false">IF(AND(D7="Yes",K7+H7&lt;=Assumptions!$B$34/10^7,J7&gt;=Assumptions!$B$36),1,0)</f>
        <v>1</v>
      </c>
      <c r="M7" s="5" t="str">
        <f aca="false">IF(L7=1,"OPEN",IF(D7="No",IF(INDEX(Model!$V$5:$V$12,MATCH($A7,Scoring!$S$5:$S$12,0))&lt;=0,"Reject: negative incremental EBITDA","Reject: fails payback/NPV gate"),IF(J7&lt;Assumptions!$B$36,"Hold: too close to a new pick","Reserve: next in line if budget grows")))</f>
        <v>OPEN</v>
      </c>
      <c r="N7" s="12" t="str">
        <f aca="false">INDEX(Scoring!$T$5:$T$12,MATCH($A7,Scoring!$S$5:$S$12,0))</f>
        <v>Profitability score</v>
      </c>
      <c r="O7" s="12" t="str">
        <f aca="false">INDEX(Scoring!$U$5:$U$12,MATCH($A7,Scoring!$S$5:$S$12,0))</f>
        <v>Cannibalisation score</v>
      </c>
      <c r="P7" s="15" t="n">
        <f aca="false">IF(L7=1,SUM($L$7:L7),0)</f>
        <v>1</v>
      </c>
    </row>
    <row r="8" customFormat="false" ht="15" hidden="false" customHeight="false" outlineLevel="0" collapsed="false">
      <c r="A8" s="5" t="n">
        <v>2</v>
      </c>
      <c r="B8" s="5" t="str">
        <f aca="false">INDEX(Scoring!$A$5:$A$12,MATCH($A8,Scoring!$S$5:$S$12,0))</f>
        <v>Whitefield</v>
      </c>
      <c r="C8" s="11" t="n">
        <f aca="false">INDEX(Scoring!$P$5:$P$12,MATCH($A8,Scoring!$S$5:$S$12,0))</f>
        <v>73.3604262834177</v>
      </c>
      <c r="D8" s="12" t="str">
        <f aca="false">INDEX(Scoring!$Q$5:$Q$12,MATCH($A8,Scoring!$S$5:$S$12,0))</f>
        <v>Yes</v>
      </c>
      <c r="E8" s="11" t="n">
        <f aca="false">INDEX(Model!$L$5:$L$12,MATCH($A8,Scoring!$S$5:$S$12,0))</f>
        <v>30.6008447211971</v>
      </c>
      <c r="F8" s="13" t="n">
        <f aca="false">INDEX(Model!$Y$5:$Y$12,MATCH($A8,Scoring!$S$5:$S$12,0))</f>
        <v>2.6849909087771</v>
      </c>
      <c r="G8" s="11" t="n">
        <f aca="false">INDEX(Model!$X$5:$X$12,MATCH($A8,Scoring!$S$5:$S$12,0))</f>
        <v>2.65772032607743</v>
      </c>
      <c r="H8" s="7" t="n">
        <f aca="false">INDEX(Model!$W$5:$W$12,MATCH($A8,Scoring!$S$5:$S$12,0))</f>
        <v>3.87</v>
      </c>
      <c r="I8" s="14" t="n">
        <f aca="false">INDEX(Model!$P$5:$P$12,MATCH($A8,Scoring!$S$5:$S$12,0))</f>
        <v>0</v>
      </c>
      <c r="J8" s="11" t="n">
        <f aca="false">MIN(IF($L7=1,INDEX(Distances!$B$16:$I$23,MATCH($B8,Distances!$A$16:$A$23,0),MATCH($B7,Distances!$A$16:$A$23,0)),999))</f>
        <v>22.2262106476887</v>
      </c>
      <c r="K8" s="7" t="n">
        <f aca="false">SUMPRODUCT($L$7:$L7,$H$7:$H7)</f>
        <v>3.39</v>
      </c>
      <c r="L8" s="5" t="n">
        <f aca="false">IF(AND(D8="Yes",K8+H8&lt;=Assumptions!$B$34/10^7,J8&gt;=Assumptions!$B$36),1,0)</f>
        <v>1</v>
      </c>
      <c r="M8" s="5" t="str">
        <f aca="false">IF(L8=1,"OPEN",IF(D8="No",IF(INDEX(Model!$V$5:$V$12,MATCH($A8,Scoring!$S$5:$S$12,0))&lt;=0,"Reject: negative incremental EBITDA","Reject: fails payback/NPV gate"),IF(J8&lt;Assumptions!$B$36,"Hold: too close to a new pick","Reserve: next in line if budget grows")))</f>
        <v>OPEN</v>
      </c>
      <c r="N8" s="12" t="str">
        <f aca="false">INDEX(Scoring!$T$5:$T$12,MATCH($A8,Scoring!$S$5:$S$12,0))</f>
        <v>Demand score</v>
      </c>
      <c r="O8" s="12" t="str">
        <f aca="false">INDEX(Scoring!$U$5:$U$12,MATCH($A8,Scoring!$S$5:$S$12,0))</f>
        <v>Competition score</v>
      </c>
      <c r="P8" s="15" t="n">
        <f aca="false">IF(L8=1,SUM($L$7:L8),0)</f>
        <v>2</v>
      </c>
    </row>
    <row r="9" customFormat="false" ht="15" hidden="false" customHeight="false" outlineLevel="0" collapsed="false">
      <c r="A9" s="5" t="n">
        <v>3</v>
      </c>
      <c r="B9" s="5" t="str">
        <f aca="false">INDEX(Scoring!$A$5:$A$12,MATCH($A9,Scoring!$S$5:$S$12,0))</f>
        <v>Sarjapur Road</v>
      </c>
      <c r="C9" s="11" t="n">
        <f aca="false">INDEX(Scoring!$P$5:$P$12,MATCH($A9,Scoring!$S$5:$S$12,0))</f>
        <v>66.8516292976127</v>
      </c>
      <c r="D9" s="12" t="str">
        <f aca="false">INDEX(Scoring!$Q$5:$Q$12,MATCH($A9,Scoring!$S$5:$S$12,0))</f>
        <v>Yes</v>
      </c>
      <c r="E9" s="11" t="n">
        <f aca="false">INDEX(Model!$L$5:$L$12,MATCH($A9,Scoring!$S$5:$S$12,0))</f>
        <v>27.2109561786167</v>
      </c>
      <c r="F9" s="13" t="n">
        <f aca="false">INDEX(Model!$Y$5:$Y$12,MATCH($A9,Scoring!$S$5:$S$12,0))</f>
        <v>3.09252473730212</v>
      </c>
      <c r="G9" s="11" t="n">
        <f aca="false">INDEX(Model!$X$5:$X$12,MATCH($A9,Scoring!$S$5:$S$12,0))</f>
        <v>3.3690280285561</v>
      </c>
      <c r="H9" s="7" t="n">
        <f aca="false">INDEX(Model!$W$5:$W$12,MATCH($A9,Scoring!$S$5:$S$12,0))</f>
        <v>3.57</v>
      </c>
      <c r="I9" s="14" t="n">
        <f aca="false">INDEX(Model!$P$5:$P$12,MATCH($A9,Scoring!$S$5:$S$12,0))</f>
        <v>0.104300860646665</v>
      </c>
      <c r="J9" s="11" t="n">
        <f aca="false">MIN(IF($L7=1,INDEX(Distances!$B$16:$I$23,MATCH($B9,Distances!$A$16:$A$23,0),MATCH($B7,Distances!$A$16:$A$23,0)),999),IF($L8=1,INDEX(Distances!$B$16:$I$23,MATCH($B9,Distances!$A$16:$A$23,0),MATCH($B8,Distances!$A$16:$A$23,0)),999))</f>
        <v>8.90562695586524</v>
      </c>
      <c r="K9" s="7" t="n">
        <f aca="false">SUMPRODUCT($L$7:$L8,$H$7:$H8)</f>
        <v>7.26</v>
      </c>
      <c r="L9" s="5" t="n">
        <f aca="false">IF(AND(D9="Yes",K9+H9&lt;=Assumptions!$B$34/10^7,J9&gt;=Assumptions!$B$36),1,0)</f>
        <v>0</v>
      </c>
      <c r="M9" s="5" t="str">
        <f aca="false">IF(L9=1,"OPEN",IF(D9="No",IF(INDEX(Model!$V$5:$V$12,MATCH($A9,Scoring!$S$5:$S$12,0))&lt;=0,"Reject: negative incremental EBITDA","Reject: fails payback/NPV gate"),IF(J9&lt;Assumptions!$B$36,"Hold: too close to a new pick","Reserve: next in line if budget grows")))</f>
        <v>Reserve: next in line if budget grows</v>
      </c>
      <c r="N9" s="12" t="str">
        <f aca="false">INDEX(Scoring!$T$5:$T$12,MATCH($A9,Scoring!$S$5:$S$12,0))</f>
        <v>Growth score</v>
      </c>
      <c r="O9" s="12" t="str">
        <f aca="false">INDEX(Scoring!$U$5:$U$12,MATCH($A9,Scoring!$S$5:$S$12,0))</f>
        <v>Accessibility score</v>
      </c>
      <c r="P9" s="15" t="n">
        <f aca="false">IF(L9=1,SUM($L$7:L9),0)</f>
        <v>0</v>
      </c>
    </row>
    <row r="10" customFormat="false" ht="15" hidden="false" customHeight="false" outlineLevel="0" collapsed="false">
      <c r="A10" s="5" t="n">
        <v>4</v>
      </c>
      <c r="B10" s="5" t="str">
        <f aca="false">INDEX(Scoring!$A$5:$A$12,MATCH($A10,Scoring!$S$5:$S$12,0))</f>
        <v>Electronic City</v>
      </c>
      <c r="C10" s="11" t="n">
        <f aca="false">INDEX(Scoring!$P$5:$P$12,MATCH($A10,Scoring!$S$5:$S$12,0))</f>
        <v>61.9518730999447</v>
      </c>
      <c r="D10" s="12" t="str">
        <f aca="false">INDEX(Scoring!$Q$5:$Q$12,MATCH($A10,Scoring!$S$5:$S$12,0))</f>
        <v>Yes</v>
      </c>
      <c r="E10" s="11" t="n">
        <f aca="false">INDEX(Model!$L$5:$L$12,MATCH($A10,Scoring!$S$5:$S$12,0))</f>
        <v>23.0505639708836</v>
      </c>
      <c r="F10" s="13" t="n">
        <f aca="false">INDEX(Model!$Y$5:$Y$12,MATCH($A10,Scoring!$S$5:$S$12,0))</f>
        <v>1.26267071392214</v>
      </c>
      <c r="G10" s="11" t="n">
        <f aca="false">INDEX(Model!$X$5:$X$12,MATCH($A10,Scoring!$S$5:$S$12,0))</f>
        <v>3.41772490373709</v>
      </c>
      <c r="H10" s="7" t="n">
        <f aca="false">INDEX(Model!$W$5:$W$12,MATCH($A10,Scoring!$S$5:$S$12,0))</f>
        <v>3.45</v>
      </c>
      <c r="I10" s="14" t="n">
        <f aca="false">INDEX(Model!$P$5:$P$12,MATCH($A10,Scoring!$S$5:$S$12,0))</f>
        <v>0.0213245299283463</v>
      </c>
      <c r="J10" s="11" t="n">
        <f aca="false">MIN(IF($L7=1,INDEX(Distances!$B$16:$I$23,MATCH($B10,Distances!$A$16:$A$23,0),MATCH($B7,Distances!$A$16:$A$23,0)),999),IF($L8=1,INDEX(Distances!$B$16:$I$23,MATCH($B10,Distances!$A$16:$A$23,0),MATCH($B8,Distances!$A$16:$A$23,0)),999),IF($L9=1,INDEX(Distances!$B$16:$I$23,MATCH($B10,Distances!$A$16:$A$23,0),MATCH($B9,Distances!$A$16:$A$23,0)),999))</f>
        <v>11.3548379386532</v>
      </c>
      <c r="K10" s="7" t="n">
        <f aca="false">SUMPRODUCT($L$7:$L9,$H$7:$H9)</f>
        <v>7.26</v>
      </c>
      <c r="L10" s="5" t="n">
        <f aca="false">IF(AND(D10="Yes",K10+H10&lt;=Assumptions!$B$34/10^7,J10&gt;=Assumptions!$B$36),1,0)</f>
        <v>0</v>
      </c>
      <c r="M10" s="5" t="str">
        <f aca="false">IF(L10=1,"OPEN",IF(D10="No",IF(INDEX(Model!$V$5:$V$12,MATCH($A10,Scoring!$S$5:$S$12,0))&lt;=0,"Reject: negative incremental EBITDA","Reject: fails payback/NPV gate"),IF(J10&lt;Assumptions!$B$36,"Hold: too close to a new pick","Reserve: next in line if budget grows")))</f>
        <v>Reserve: next in line if budget grows</v>
      </c>
      <c r="N10" s="12" t="str">
        <f aca="false">INDEX(Scoring!$T$5:$T$12,MATCH($A10,Scoring!$S$5:$S$12,0))</f>
        <v>Cannibalisation score</v>
      </c>
      <c r="O10" s="12" t="str">
        <f aca="false">INDEX(Scoring!$U$5:$U$12,MATCH($A10,Scoring!$S$5:$S$12,0))</f>
        <v>Demand score</v>
      </c>
      <c r="P10" s="15" t="n">
        <f aca="false">IF(L10=1,SUM($L$7:L10),0)</f>
        <v>0</v>
      </c>
    </row>
    <row r="11" customFormat="false" ht="15" hidden="false" customHeight="false" outlineLevel="0" collapsed="false">
      <c r="A11" s="5" t="n">
        <v>5</v>
      </c>
      <c r="B11" s="5" t="str">
        <f aca="false">INDEX(Scoring!$A$5:$A$12,MATCH($A11,Scoring!$S$5:$S$12,0))</f>
        <v>Yelahanka</v>
      </c>
      <c r="C11" s="11" t="n">
        <f aca="false">INDEX(Scoring!$P$5:$P$12,MATCH($A11,Scoring!$S$5:$S$12,0))</f>
        <v>52.0219894138607</v>
      </c>
      <c r="D11" s="12" t="str">
        <f aca="false">INDEX(Scoring!$Q$5:$Q$12,MATCH($A11,Scoring!$S$5:$S$12,0))</f>
        <v>No</v>
      </c>
      <c r="E11" s="11" t="n">
        <f aca="false">INDEX(Model!$L$5:$L$12,MATCH($A11,Scoring!$S$5:$S$12,0))</f>
        <v>19.8294226365829</v>
      </c>
      <c r="F11" s="13" t="n">
        <f aca="false">INDEX(Model!$Y$5:$Y$12,MATCH($A11,Scoring!$S$5:$S$12,0))</f>
        <v>-1.25981255853019</v>
      </c>
      <c r="G11" s="11" t="n">
        <f aca="false">INDEX(Model!$X$5:$X$12,MATCH($A11,Scoring!$S$5:$S$12,0))</f>
        <v>5.40534028969415</v>
      </c>
      <c r="H11" s="7" t="n">
        <f aca="false">INDEX(Model!$W$5:$W$12,MATCH($A11,Scoring!$S$5:$S$12,0))</f>
        <v>3.42</v>
      </c>
      <c r="I11" s="14" t="n">
        <f aca="false">INDEX(Model!$P$5:$P$12,MATCH($A11,Scoring!$S$5:$S$12,0))</f>
        <v>0</v>
      </c>
      <c r="J11" s="11" t="n">
        <f aca="false">MIN(IF($L7=1,INDEX(Distances!$B$16:$I$23,MATCH($B11,Distances!$A$16:$A$23,0),MATCH($B7,Distances!$A$16:$A$23,0)),999),IF($L8=1,INDEX(Distances!$B$16:$I$23,MATCH($B11,Distances!$A$16:$A$23,0),MATCH($B8,Distances!$A$16:$A$23,0)),999),IF($L9=1,INDEX(Distances!$B$16:$I$23,MATCH($B11,Distances!$A$16:$A$23,0),MATCH($B9,Distances!$A$16:$A$23,0)),999),IF($L10=1,INDEX(Distances!$B$16:$I$23,MATCH($B11,Distances!$A$16:$A$23,0),MATCH($B10,Distances!$A$16:$A$23,0)),999))</f>
        <v>22.1154045283632</v>
      </c>
      <c r="K11" s="7" t="n">
        <f aca="false">SUMPRODUCT($L$7:$L10,$H$7:$H10)</f>
        <v>7.26</v>
      </c>
      <c r="L11" s="5" t="n">
        <f aca="false">IF(AND(D11="Yes",K11+H11&lt;=Assumptions!$B$34/10^7,J11&gt;=Assumptions!$B$36),1,0)</f>
        <v>0</v>
      </c>
      <c r="M11" s="5" t="str">
        <f aca="false">IF(L11=1,"OPEN",IF(D11="No",IF(INDEX(Model!$V$5:$V$12,MATCH($A11,Scoring!$S$5:$S$12,0))&lt;=0,"Reject: negative incremental EBITDA","Reject: fails payback/NPV gate"),IF(J11&lt;Assumptions!$B$36,"Hold: too close to a new pick","Reserve: next in line if budget grows")))</f>
        <v>Reject: fails payback/NPV gate</v>
      </c>
      <c r="N11" s="12" t="str">
        <f aca="false">INDEX(Scoring!$T$5:$T$12,MATCH($A11,Scoring!$S$5:$S$12,0))</f>
        <v>Competition score</v>
      </c>
      <c r="O11" s="12" t="str">
        <f aca="false">INDEX(Scoring!$U$5:$U$12,MATCH($A11,Scoring!$S$5:$S$12,0))</f>
        <v>Demand score</v>
      </c>
      <c r="P11" s="15" t="n">
        <f aca="false">IF(L11=1,SUM($L$7:L11),0)</f>
        <v>0</v>
      </c>
    </row>
    <row r="12" customFormat="false" ht="15" hidden="false" customHeight="false" outlineLevel="0" collapsed="false">
      <c r="A12" s="5" t="n">
        <v>6</v>
      </c>
      <c r="B12" s="5" t="str">
        <f aca="false">INDEX(Scoring!$A$5:$A$12,MATCH($A12,Scoring!$S$5:$S$12,0))</f>
        <v>Hebbal</v>
      </c>
      <c r="C12" s="11" t="n">
        <f aca="false">INDEX(Scoring!$P$5:$P$12,MATCH($A12,Scoring!$S$5:$S$12,0))</f>
        <v>45.8856793122207</v>
      </c>
      <c r="D12" s="12" t="str">
        <f aca="false">INDEX(Scoring!$Q$5:$Q$12,MATCH($A12,Scoring!$S$5:$S$12,0))</f>
        <v>No</v>
      </c>
      <c r="E12" s="11" t="n">
        <f aca="false">INDEX(Model!$L$5:$L$12,MATCH($A12,Scoring!$S$5:$S$12,0))</f>
        <v>26.9360331000581</v>
      </c>
      <c r="F12" s="13" t="n">
        <f aca="false">INDEX(Model!$Y$5:$Y$12,MATCH($A12,Scoring!$S$5:$S$12,0))</f>
        <v>-2.85163667613964</v>
      </c>
      <c r="G12" s="11" t="n">
        <f aca="false">INDEX(Model!$X$5:$X$12,MATCH($A12,Scoring!$S$5:$S$12,0))</f>
        <v>7.1096184805738</v>
      </c>
      <c r="H12" s="7" t="n">
        <f aca="false">INDEX(Model!$W$5:$W$12,MATCH($A12,Scoring!$S$5:$S$12,0))</f>
        <v>3.72</v>
      </c>
      <c r="I12" s="14" t="n">
        <f aca="false">INDEX(Model!$P$5:$P$12,MATCH($A12,Scoring!$S$5:$S$12,0))</f>
        <v>0.150015238418162</v>
      </c>
      <c r="J12" s="11" t="n">
        <f aca="false">MIN(IF($L7=1,INDEX(Distances!$B$16:$I$23,MATCH($B12,Distances!$A$16:$A$23,0),MATCH($B7,Distances!$A$16:$A$23,0)),999),IF($L8=1,INDEX(Distances!$B$16:$I$23,MATCH($B12,Distances!$A$16:$A$23,0),MATCH($B8,Distances!$A$16:$A$23,0)),999),IF($L9=1,INDEX(Distances!$B$16:$I$23,MATCH($B12,Distances!$A$16:$A$23,0),MATCH($B9,Distances!$A$16:$A$23,0)),999),IF($L10=1,INDEX(Distances!$B$16:$I$23,MATCH($B12,Distances!$A$16:$A$23,0),MATCH($B10,Distances!$A$16:$A$23,0)),999),IF($L11=1,INDEX(Distances!$B$16:$I$23,MATCH($B12,Distances!$A$16:$A$23,0),MATCH($B11,Distances!$A$16:$A$23,0)),999))</f>
        <v>17.0800111529967</v>
      </c>
      <c r="K12" s="7" t="n">
        <f aca="false">SUMPRODUCT($L$7:$L11,$H$7:$H11)</f>
        <v>7.26</v>
      </c>
      <c r="L12" s="5" t="n">
        <f aca="false">IF(AND(D12="Yes",K12+H12&lt;=Assumptions!$B$34/10^7,J12&gt;=Assumptions!$B$36),1,0)</f>
        <v>0</v>
      </c>
      <c r="M12" s="5" t="str">
        <f aca="false">IF(L12=1,"OPEN",IF(D12="No",IF(INDEX(Model!$V$5:$V$12,MATCH($A12,Scoring!$S$5:$S$12,0))&lt;=0,"Reject: negative incremental EBITDA","Reject: fails payback/NPV gate"),IF(J12&lt;Assumptions!$B$36,"Hold: too close to a new pick","Reserve: next in line if budget grows")))</f>
        <v>Reject: fails payback/NPV gate</v>
      </c>
      <c r="N12" s="12" t="str">
        <f aca="false">INDEX(Scoring!$T$5:$T$12,MATCH($A12,Scoring!$S$5:$S$12,0))</f>
        <v>Accessibility score</v>
      </c>
      <c r="O12" s="12" t="str">
        <f aca="false">INDEX(Scoring!$U$5:$U$12,MATCH($A12,Scoring!$S$5:$S$12,0))</f>
        <v>Growth score</v>
      </c>
      <c r="P12" s="15" t="n">
        <f aca="false">IF(L12=1,SUM($L$7:L12),0)</f>
        <v>0</v>
      </c>
    </row>
    <row r="13" customFormat="false" ht="15" hidden="false" customHeight="false" outlineLevel="0" collapsed="false">
      <c r="A13" s="5" t="n">
        <v>7</v>
      </c>
      <c r="B13" s="5" t="str">
        <f aca="false">INDEX(Scoring!$A$5:$A$12,MATCH($A13,Scoring!$S$5:$S$12,0))</f>
        <v>Bellandur</v>
      </c>
      <c r="C13" s="11" t="n">
        <f aca="false">INDEX(Scoring!$P$5:$P$12,MATCH($A13,Scoring!$S$5:$S$12,0))</f>
        <v>30.4991752201438</v>
      </c>
      <c r="D13" s="12" t="str">
        <f aca="false">INDEX(Scoring!$Q$5:$Q$12,MATCH($A13,Scoring!$S$5:$S$12,0))</f>
        <v>No</v>
      </c>
      <c r="E13" s="11" t="n">
        <f aca="false">INDEX(Model!$L$5:$L$12,MATCH($A13,Scoring!$S$5:$S$12,0))</f>
        <v>26.9066828412427</v>
      </c>
      <c r="F13" s="13" t="n">
        <f aca="false">INDEX(Model!$Y$5:$Y$12,MATCH($A13,Scoring!$S$5:$S$12,0))</f>
        <v>-4.11512187088995</v>
      </c>
      <c r="G13" s="11" t="n">
        <f aca="false">INDEX(Model!$X$5:$X$12,MATCH($A13,Scoring!$S$5:$S$12,0))</f>
        <v>18.9918269727333</v>
      </c>
      <c r="H13" s="7" t="n">
        <f aca="false">INDEX(Model!$W$5:$W$12,MATCH($A13,Scoring!$S$5:$S$12,0))</f>
        <v>3.78</v>
      </c>
      <c r="I13" s="14" t="n">
        <f aca="false">INDEX(Model!$P$5:$P$12,MATCH($A13,Scoring!$S$5:$S$12,0))</f>
        <v>0.196520943159942</v>
      </c>
      <c r="J13" s="11" t="n">
        <f aca="false">MIN(IF($L7=1,INDEX(Distances!$B$16:$I$23,MATCH($B13,Distances!$A$16:$A$23,0),MATCH($B7,Distances!$A$16:$A$23,0)),999),IF($L8=1,INDEX(Distances!$B$16:$I$23,MATCH($B13,Distances!$A$16:$A$23,0),MATCH($B8,Distances!$A$16:$A$23,0)),999),IF($L9=1,INDEX(Distances!$B$16:$I$23,MATCH($B13,Distances!$A$16:$A$23,0),MATCH($B9,Distances!$A$16:$A$23,0)),999),IF($L10=1,INDEX(Distances!$B$16:$I$23,MATCH($B13,Distances!$A$16:$A$23,0),MATCH($B10,Distances!$A$16:$A$23,0)),999),IF($L11=1,INDEX(Distances!$B$16:$I$23,MATCH($B13,Distances!$A$16:$A$23,0),MATCH($B11,Distances!$A$16:$A$23,0)),999),IF($L12=1,INDEX(Distances!$B$16:$I$23,MATCH($B13,Distances!$A$16:$A$23,0),MATCH($B12,Distances!$A$16:$A$23,0)),999))</f>
        <v>9.36380168580716</v>
      </c>
      <c r="K13" s="7" t="n">
        <f aca="false">SUMPRODUCT($L$7:$L12,$H$7:$H12)</f>
        <v>7.26</v>
      </c>
      <c r="L13" s="5" t="n">
        <f aca="false">IF(AND(D13="Yes",K13+H13&lt;=Assumptions!$B$34/10^7,J13&gt;=Assumptions!$B$36),1,0)</f>
        <v>0</v>
      </c>
      <c r="M13" s="5" t="str">
        <f aca="false">IF(L13=1,"OPEN",IF(D13="No",IF(INDEX(Model!$V$5:$V$12,MATCH($A13,Scoring!$S$5:$S$12,0))&lt;=0,"Reject: negative incremental EBITDA","Reject: fails payback/NPV gate"),IF(J13&lt;Assumptions!$B$36,"Hold: too close to a new pick","Reserve: next in line if budget grows")))</f>
        <v>Reject: fails payback/NPV gate</v>
      </c>
      <c r="N13" s="12" t="str">
        <f aca="false">INDEX(Scoring!$T$5:$T$12,MATCH($A13,Scoring!$S$5:$S$12,0))</f>
        <v>Demand score</v>
      </c>
      <c r="O13" s="12" t="str">
        <f aca="false">INDEX(Scoring!$U$5:$U$12,MATCH($A13,Scoring!$S$5:$S$12,0))</f>
        <v>Accessibility score</v>
      </c>
      <c r="P13" s="15" t="n">
        <f aca="false">IF(L13=1,SUM($L$7:L13),0)</f>
        <v>0</v>
      </c>
    </row>
    <row r="14" customFormat="false" ht="15" hidden="false" customHeight="false" outlineLevel="0" collapsed="false">
      <c r="A14" s="5" t="n">
        <v>8</v>
      </c>
      <c r="B14" s="5" t="str">
        <f aca="false">INDEX(Scoring!$A$5:$A$12,MATCH($A14,Scoring!$S$5:$S$12,0))</f>
        <v>Marathahalli</v>
      </c>
      <c r="C14" s="11" t="n">
        <f aca="false">INDEX(Scoring!$P$5:$P$12,MATCH($A14,Scoring!$S$5:$S$12,0))</f>
        <v>20.973982711906</v>
      </c>
      <c r="D14" s="12" t="str">
        <f aca="false">INDEX(Scoring!$Q$5:$Q$12,MATCH($A14,Scoring!$S$5:$S$12,0))</f>
        <v>No</v>
      </c>
      <c r="E14" s="11" t="n">
        <f aca="false">INDEX(Model!$L$5:$L$12,MATCH($A14,Scoring!$S$5:$S$12,0))</f>
        <v>22.228569397063</v>
      </c>
      <c r="F14" s="13" t="n">
        <f aca="false">INDEX(Model!$Y$5:$Y$12,MATCH($A14,Scoring!$S$5:$S$12,0))</f>
        <v>-7.18237725319665</v>
      </c>
      <c r="G14" s="11" t="n">
        <f aca="false">INDEX(Model!$X$5:$X$12,MATCH($A14,Scoring!$S$5:$S$12,0))</f>
        <v>99</v>
      </c>
      <c r="H14" s="7" t="n">
        <f aca="false">INDEX(Model!$W$5:$W$12,MATCH($A14,Scoring!$S$5:$S$12,0))</f>
        <v>3.9</v>
      </c>
      <c r="I14" s="14" t="n">
        <f aca="false">INDEX(Model!$P$5:$P$12,MATCH($A14,Scoring!$S$5:$S$12,0))</f>
        <v>0.0456016253265477</v>
      </c>
      <c r="J14" s="11" t="n">
        <f aca="false">MIN(IF($L7=1,INDEX(Distances!$B$16:$I$23,MATCH($B14,Distances!$A$16:$A$23,0),MATCH($B7,Distances!$A$16:$A$23,0)),999),IF($L8=1,INDEX(Distances!$B$16:$I$23,MATCH($B14,Distances!$A$16:$A$23,0),MATCH($B8,Distances!$A$16:$A$23,0)),999),IF($L9=1,INDEX(Distances!$B$16:$I$23,MATCH($B14,Distances!$A$16:$A$23,0),MATCH($B9,Distances!$A$16:$A$23,0)),999),IF($L10=1,INDEX(Distances!$B$16:$I$23,MATCH($B14,Distances!$A$16:$A$23,0),MATCH($B10,Distances!$A$16:$A$23,0)),999),IF($L11=1,INDEX(Distances!$B$16:$I$23,MATCH($B14,Distances!$A$16:$A$23,0),MATCH($B11,Distances!$A$16:$A$23,0)),999),IF($L12=1,INDEX(Distances!$B$16:$I$23,MATCH($B14,Distances!$A$16:$A$23,0),MATCH($B12,Distances!$A$16:$A$23,0)),999),IF($L13=1,INDEX(Distances!$B$16:$I$23,MATCH($B14,Distances!$A$16:$A$23,0),MATCH($B13,Distances!$A$16:$A$23,0)),999))</f>
        <v>5.48957007636542</v>
      </c>
      <c r="K14" s="7" t="n">
        <f aca="false">SUMPRODUCT($L$7:$L13,$H$7:$H13)</f>
        <v>7.26</v>
      </c>
      <c r="L14" s="5" t="n">
        <f aca="false">IF(AND(D14="Yes",K14+H14&lt;=Assumptions!$B$34/10^7,J14&gt;=Assumptions!$B$36),1,0)</f>
        <v>0</v>
      </c>
      <c r="M14" s="5" t="str">
        <f aca="false">IF(L14=1,"OPEN",IF(D14="No",IF(INDEX(Model!$V$5:$V$12,MATCH($A14,Scoring!$S$5:$S$12,0))&lt;=0,"Reject: negative incremental EBITDA","Reject: fails payback/NPV gate"),IF(J14&lt;Assumptions!$B$36,"Hold: too close to a new pick","Reserve: next in line if budget grows")))</f>
        <v>Reject: negative incremental EBITDA</v>
      </c>
      <c r="N14" s="12" t="str">
        <f aca="false">INDEX(Scoring!$T$5:$T$12,MATCH($A14,Scoring!$S$5:$S$12,0))</f>
        <v>Cannibalisation score</v>
      </c>
      <c r="O14" s="12" t="str">
        <f aca="false">INDEX(Scoring!$U$5:$U$12,MATCH($A14,Scoring!$S$5:$S$12,0))</f>
        <v>Profitability score</v>
      </c>
      <c r="P14" s="15" t="n">
        <f aca="false">IF(L14=1,SUM($L$7:L14),0)</f>
        <v>0</v>
      </c>
    </row>
    <row r="16" customFormat="false" ht="15" hidden="false" customHeight="false" outlineLevel="0" collapsed="false">
      <c r="A16" s="16" t="s">
        <v>39</v>
      </c>
    </row>
    <row r="17" customFormat="false" ht="15" hidden="false" customHeight="false" outlineLevel="0" collapsed="false">
      <c r="A17" s="16" t="s">
        <v>40</v>
      </c>
    </row>
    <row r="18" customFormat="false" ht="15" hidden="false" customHeight="false" outlineLevel="0" collapsed="false">
      <c r="A18" s="16" t="s">
        <v>41</v>
      </c>
    </row>
    <row r="19" customFormat="false" ht="15" hidden="false" customHeight="false" outlineLevel="0" collapsed="false">
      <c r="A19" s="16" t="s">
        <v>42</v>
      </c>
    </row>
  </sheetData>
  <mergeCells count="1">
    <mergeCell ref="C3:H3"/>
  </mergeCells>
  <conditionalFormatting sqref="A7:O14">
    <cfRule type="expression" priority="2" aboveAverage="0" equalAverage="0" bottom="0" percent="0" rank="0" text="" dxfId="0">
      <formula>$L7=1</formula>
    </cfRule>
    <cfRule type="expression" priority="3" aboveAverage="0" equalAverage="0" bottom="0" percent="0" rank="0" text="" dxfId="1">
      <formula>$D7="No"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3" customFormat="false" ht="45" hidden="false" customHeight="true" outlineLevel="0" collapsed="false">
      <c r="A3" s="10" t="s">
        <v>45</v>
      </c>
      <c r="B3" s="10" t="s">
        <v>46</v>
      </c>
      <c r="C3" s="10" t="s">
        <v>47</v>
      </c>
      <c r="D3" s="10" t="s">
        <v>48</v>
      </c>
    </row>
    <row r="4" customFormat="false" ht="15" hidden="false" customHeight="false" outlineLevel="0" collapsed="false">
      <c r="A4" s="15" t="s">
        <v>49</v>
      </c>
      <c r="B4" s="17" t="n">
        <v>3.8</v>
      </c>
      <c r="C4" s="15" t="s">
        <v>50</v>
      </c>
      <c r="D4" s="18" t="s">
        <v>51</v>
      </c>
    </row>
    <row r="5" customFormat="false" ht="26.85" hidden="false" customHeight="false" outlineLevel="0" collapsed="false">
      <c r="A5" s="15" t="s">
        <v>52</v>
      </c>
      <c r="B5" s="19" t="n">
        <v>0.14</v>
      </c>
      <c r="C5" s="15" t="s">
        <v>53</v>
      </c>
      <c r="D5" s="18" t="s">
        <v>54</v>
      </c>
    </row>
    <row r="6" customFormat="false" ht="15" hidden="false" customHeight="false" outlineLevel="0" collapsed="false">
      <c r="A6" s="15" t="s">
        <v>55</v>
      </c>
      <c r="B6" s="19" t="n">
        <v>0.1</v>
      </c>
      <c r="C6" s="15" t="s">
        <v>53</v>
      </c>
      <c r="D6" s="18" t="s">
        <v>56</v>
      </c>
    </row>
    <row r="7" customFormat="false" ht="15" hidden="false" customHeight="false" outlineLevel="0" collapsed="false">
      <c r="A7" s="15" t="s">
        <v>57</v>
      </c>
      <c r="B7" s="20" t="n">
        <v>0.002</v>
      </c>
      <c r="C7" s="15" t="s">
        <v>58</v>
      </c>
      <c r="D7" s="18" t="s">
        <v>59</v>
      </c>
    </row>
    <row r="8" customFormat="false" ht="15" hidden="false" customHeight="false" outlineLevel="0" collapsed="false">
      <c r="A8" s="15" t="s">
        <v>60</v>
      </c>
      <c r="B8" s="19" t="n">
        <v>0.4</v>
      </c>
      <c r="C8" s="15" t="s">
        <v>53</v>
      </c>
      <c r="D8" s="18" t="s">
        <v>61</v>
      </c>
    </row>
    <row r="9" customFormat="false" ht="15" hidden="false" customHeight="false" outlineLevel="0" collapsed="false">
      <c r="A9" s="15" t="s">
        <v>62</v>
      </c>
      <c r="B9" s="17" t="n">
        <v>1.5</v>
      </c>
      <c r="C9" s="15" t="s">
        <v>63</v>
      </c>
      <c r="D9" s="18" t="s">
        <v>64</v>
      </c>
    </row>
    <row r="10" customFormat="false" ht="15" hidden="false" customHeight="false" outlineLevel="0" collapsed="false">
      <c r="A10" s="15" t="s">
        <v>65</v>
      </c>
      <c r="B10" s="17" t="n">
        <v>7</v>
      </c>
      <c r="C10" s="15" t="s">
        <v>66</v>
      </c>
      <c r="D10" s="18" t="s">
        <v>67</v>
      </c>
    </row>
    <row r="11" customFormat="false" ht="15" hidden="false" customHeight="false" outlineLevel="0" collapsed="false">
      <c r="A11" s="15" t="s">
        <v>68</v>
      </c>
      <c r="B11" s="19" t="n">
        <v>0.12</v>
      </c>
      <c r="C11" s="15" t="s">
        <v>53</v>
      </c>
      <c r="D11" s="18" t="s">
        <v>69</v>
      </c>
    </row>
    <row r="12" customFormat="false" ht="15" hidden="false" customHeight="false" outlineLevel="0" collapsed="false">
      <c r="A12" s="15" t="s">
        <v>70</v>
      </c>
      <c r="B12" s="21" t="n">
        <v>0.02</v>
      </c>
      <c r="C12" s="15" t="s">
        <v>53</v>
      </c>
      <c r="D12" s="18" t="s">
        <v>71</v>
      </c>
    </row>
    <row r="13" customFormat="false" ht="15" hidden="false" customHeight="false" outlineLevel="0" collapsed="false">
      <c r="A13" s="15" t="s">
        <v>72</v>
      </c>
      <c r="B13" s="19" t="n">
        <v>0.75</v>
      </c>
      <c r="C13" s="15" t="s">
        <v>53</v>
      </c>
      <c r="D13" s="18" t="s">
        <v>73</v>
      </c>
    </row>
    <row r="14" customFormat="false" ht="15" hidden="false" customHeight="false" outlineLevel="0" collapsed="false">
      <c r="A14" s="15" t="s">
        <v>74</v>
      </c>
      <c r="B14" s="22" t="n">
        <v>350</v>
      </c>
      <c r="C14" s="15" t="s">
        <v>75</v>
      </c>
      <c r="D14" s="18" t="s">
        <v>61</v>
      </c>
    </row>
    <row r="15" customFormat="false" ht="15" hidden="false" customHeight="false" outlineLevel="0" collapsed="false">
      <c r="A15" s="15" t="s">
        <v>76</v>
      </c>
      <c r="B15" s="17" t="n">
        <v>2.5</v>
      </c>
      <c r="C15" s="15" t="s">
        <v>75</v>
      </c>
      <c r="D15" s="18" t="s">
        <v>77</v>
      </c>
    </row>
    <row r="16" customFormat="false" ht="15" hidden="false" customHeight="false" outlineLevel="0" collapsed="false">
      <c r="A16" s="15" t="s">
        <v>78</v>
      </c>
      <c r="B16" s="23" t="n">
        <v>0.5</v>
      </c>
      <c r="C16" s="15" t="s">
        <v>53</v>
      </c>
      <c r="D16" s="18" t="s">
        <v>79</v>
      </c>
    </row>
    <row r="17" customFormat="false" ht="15" hidden="false" customHeight="false" outlineLevel="0" collapsed="false">
      <c r="A17" s="15" t="s">
        <v>80</v>
      </c>
      <c r="B17" s="24" t="n">
        <v>365</v>
      </c>
      <c r="C17" s="15" t="s">
        <v>81</v>
      </c>
      <c r="D17" s="18"/>
    </row>
    <row r="18" customFormat="false" ht="15" hidden="false" customHeight="false" outlineLevel="0" collapsed="false">
      <c r="A18" s="15" t="s">
        <v>82</v>
      </c>
      <c r="B18" s="22" t="n">
        <v>10000</v>
      </c>
      <c r="C18" s="15" t="s">
        <v>83</v>
      </c>
      <c r="D18" s="18" t="s">
        <v>84</v>
      </c>
    </row>
    <row r="19" customFormat="false" ht="15" hidden="false" customHeight="false" outlineLevel="0" collapsed="false">
      <c r="A19" s="15" t="s">
        <v>85</v>
      </c>
      <c r="B19" s="21" t="n">
        <v>0.21</v>
      </c>
      <c r="C19" s="15" t="s">
        <v>53</v>
      </c>
      <c r="D19" s="18" t="s">
        <v>86</v>
      </c>
    </row>
    <row r="20" customFormat="false" ht="15" hidden="false" customHeight="false" outlineLevel="0" collapsed="false">
      <c r="A20" s="15" t="s">
        <v>87</v>
      </c>
      <c r="B20" s="22" t="n">
        <v>11000000</v>
      </c>
      <c r="C20" s="15" t="s">
        <v>75</v>
      </c>
      <c r="D20" s="18" t="s">
        <v>88</v>
      </c>
    </row>
    <row r="21" customFormat="false" ht="15" hidden="false" customHeight="false" outlineLevel="0" collapsed="false">
      <c r="A21" s="15" t="s">
        <v>89</v>
      </c>
      <c r="B21" s="22" t="n">
        <v>6000000</v>
      </c>
      <c r="C21" s="15" t="s">
        <v>90</v>
      </c>
      <c r="D21" s="18" t="s">
        <v>61</v>
      </c>
    </row>
    <row r="22" customFormat="false" ht="15" hidden="false" customHeight="false" outlineLevel="0" collapsed="false">
      <c r="A22" s="15" t="s">
        <v>91</v>
      </c>
      <c r="B22" s="19" t="n">
        <v>0.05</v>
      </c>
      <c r="C22" s="15" t="s">
        <v>92</v>
      </c>
      <c r="D22" s="18" t="s">
        <v>93</v>
      </c>
    </row>
    <row r="23" customFormat="false" ht="15" hidden="false" customHeight="false" outlineLevel="0" collapsed="false">
      <c r="A23" s="15" t="s">
        <v>94</v>
      </c>
      <c r="B23" s="22" t="n">
        <v>2200</v>
      </c>
      <c r="C23" s="15" t="s">
        <v>95</v>
      </c>
      <c r="D23" s="18" t="s">
        <v>61</v>
      </c>
    </row>
    <row r="24" customFormat="false" ht="15" hidden="false" customHeight="false" outlineLevel="0" collapsed="false">
      <c r="A24" s="15" t="s">
        <v>96</v>
      </c>
      <c r="B24" s="24" t="n">
        <v>6</v>
      </c>
      <c r="C24" s="15" t="s">
        <v>97</v>
      </c>
      <c r="D24" s="18" t="s">
        <v>98</v>
      </c>
    </row>
    <row r="25" customFormat="false" ht="15" hidden="false" customHeight="false" outlineLevel="0" collapsed="false">
      <c r="A25" s="15" t="s">
        <v>99</v>
      </c>
      <c r="B25" s="22" t="n">
        <v>8000000</v>
      </c>
      <c r="C25" s="15" t="s">
        <v>75</v>
      </c>
      <c r="D25" s="18" t="s">
        <v>61</v>
      </c>
    </row>
    <row r="26" customFormat="false" ht="15" hidden="false" customHeight="false" outlineLevel="0" collapsed="false">
      <c r="A26" s="15" t="s">
        <v>100</v>
      </c>
      <c r="B26" s="19" t="n">
        <v>0.05</v>
      </c>
      <c r="C26" s="15" t="s">
        <v>53</v>
      </c>
      <c r="D26" s="18" t="s">
        <v>101</v>
      </c>
    </row>
    <row r="27" customFormat="false" ht="15" hidden="false" customHeight="false" outlineLevel="0" collapsed="false">
      <c r="A27" s="15" t="s">
        <v>102</v>
      </c>
      <c r="B27" s="19" t="n">
        <v>0.06</v>
      </c>
      <c r="C27" s="15" t="s">
        <v>53</v>
      </c>
      <c r="D27" s="18" t="s">
        <v>61</v>
      </c>
    </row>
    <row r="28" customFormat="false" ht="15" hidden="false" customHeight="false" outlineLevel="0" collapsed="false">
      <c r="A28" s="15" t="s">
        <v>103</v>
      </c>
      <c r="B28" s="23" t="n">
        <v>0.7</v>
      </c>
      <c r="C28" s="15" t="s">
        <v>53</v>
      </c>
      <c r="D28" s="18" t="s">
        <v>61</v>
      </c>
    </row>
    <row r="29" customFormat="false" ht="15" hidden="false" customHeight="false" outlineLevel="0" collapsed="false">
      <c r="A29" s="15" t="s">
        <v>104</v>
      </c>
      <c r="B29" s="23" t="n">
        <v>0.9</v>
      </c>
      <c r="C29" s="15" t="s">
        <v>53</v>
      </c>
      <c r="D29" s="18" t="s">
        <v>61</v>
      </c>
    </row>
    <row r="30" customFormat="false" ht="15" hidden="false" customHeight="false" outlineLevel="0" collapsed="false">
      <c r="A30" s="15" t="s">
        <v>105</v>
      </c>
      <c r="B30" s="23" t="n">
        <v>1</v>
      </c>
      <c r="C30" s="15" t="s">
        <v>53</v>
      </c>
      <c r="D30" s="18" t="s">
        <v>61</v>
      </c>
    </row>
    <row r="31" customFormat="false" ht="15" hidden="false" customHeight="false" outlineLevel="0" collapsed="false">
      <c r="A31" s="15" t="s">
        <v>106</v>
      </c>
      <c r="B31" s="21" t="n">
        <v>0.12</v>
      </c>
      <c r="C31" s="15" t="s">
        <v>53</v>
      </c>
      <c r="D31" s="18" t="s">
        <v>107</v>
      </c>
    </row>
    <row r="32" customFormat="false" ht="15" hidden="false" customHeight="false" outlineLevel="0" collapsed="false">
      <c r="A32" s="15" t="s">
        <v>108</v>
      </c>
      <c r="B32" s="21" t="n">
        <v>0.35</v>
      </c>
      <c r="C32" s="15" t="s">
        <v>109</v>
      </c>
      <c r="D32" s="18" t="s">
        <v>110</v>
      </c>
    </row>
    <row r="33" customFormat="false" ht="15" hidden="false" customHeight="false" outlineLevel="0" collapsed="false">
      <c r="A33" s="15" t="s">
        <v>111</v>
      </c>
      <c r="B33" s="17" t="n">
        <v>8</v>
      </c>
      <c r="C33" s="15" t="s">
        <v>112</v>
      </c>
      <c r="D33" s="18" t="s">
        <v>113</v>
      </c>
    </row>
    <row r="34" customFormat="false" ht="15" hidden="false" customHeight="false" outlineLevel="0" collapsed="false">
      <c r="A34" s="15" t="s">
        <v>114</v>
      </c>
      <c r="B34" s="25" t="n">
        <v>80000000</v>
      </c>
      <c r="C34" s="15" t="s">
        <v>75</v>
      </c>
      <c r="D34" s="18" t="s">
        <v>115</v>
      </c>
    </row>
    <row r="35" customFormat="false" ht="15" hidden="false" customHeight="false" outlineLevel="0" collapsed="false">
      <c r="A35" s="15" t="s">
        <v>116</v>
      </c>
      <c r="B35" s="26" t="n">
        <v>4</v>
      </c>
      <c r="C35" s="15" t="s">
        <v>117</v>
      </c>
      <c r="D35" s="18" t="s">
        <v>118</v>
      </c>
    </row>
    <row r="36" customFormat="false" ht="15" hidden="false" customHeight="false" outlineLevel="0" collapsed="false">
      <c r="A36" s="15" t="s">
        <v>119</v>
      </c>
      <c r="B36" s="17" t="n">
        <v>5</v>
      </c>
      <c r="C36" s="15" t="s">
        <v>112</v>
      </c>
      <c r="D36" s="18" t="s">
        <v>120</v>
      </c>
    </row>
    <row r="38" customFormat="false" ht="15" hidden="false" customHeight="false" outlineLevel="0" collapsed="false">
      <c r="A38" s="3" t="s">
        <v>121</v>
      </c>
    </row>
    <row r="39" customFormat="false" ht="15" hidden="false" customHeight="false" outlineLevel="0" collapsed="false">
      <c r="A39" s="27" t="s">
        <v>122</v>
      </c>
    </row>
    <row r="40" customFormat="false" ht="15" hidden="false" customHeight="false" outlineLevel="0" collapsed="false">
      <c r="A40" s="27" t="s">
        <v>123</v>
      </c>
    </row>
    <row r="41" customFormat="false" ht="15" hidden="false" customHeight="false" outlineLevel="0" collapsed="false">
      <c r="A41" s="27" t="s">
        <v>124</v>
      </c>
    </row>
    <row r="42" customFormat="false" ht="15" hidden="false" customHeight="false" outlineLevel="0" collapsed="false">
      <c r="A42" s="2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4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3" customFormat="false" ht="45" hidden="false" customHeight="true" outlineLevel="0" collapsed="false">
      <c r="A3" s="10" t="s">
        <v>128</v>
      </c>
      <c r="B3" s="10" t="s">
        <v>129</v>
      </c>
      <c r="C3" s="10" t="s">
        <v>130</v>
      </c>
      <c r="D3" s="10" t="s">
        <v>131</v>
      </c>
      <c r="E3" s="10" t="s">
        <v>132</v>
      </c>
      <c r="F3" s="10" t="s">
        <v>133</v>
      </c>
    </row>
    <row r="4" customFormat="false" ht="15" hidden="false" customHeight="false" outlineLevel="0" collapsed="false">
      <c r="A4" s="15" t="s">
        <v>134</v>
      </c>
      <c r="B4" s="15" t="s">
        <v>135</v>
      </c>
      <c r="C4" s="28" t="n">
        <v>0.2</v>
      </c>
      <c r="D4" s="15" t="s">
        <v>136</v>
      </c>
      <c r="E4" s="15" t="s">
        <v>137</v>
      </c>
      <c r="F4" s="18" t="s">
        <v>138</v>
      </c>
    </row>
    <row r="5" customFormat="false" ht="26.85" hidden="false" customHeight="false" outlineLevel="0" collapsed="false">
      <c r="A5" s="15" t="s">
        <v>139</v>
      </c>
      <c r="B5" s="15" t="s">
        <v>140</v>
      </c>
      <c r="C5" s="28" t="n">
        <v>0.3</v>
      </c>
      <c r="D5" s="15" t="s">
        <v>136</v>
      </c>
      <c r="E5" s="15" t="s">
        <v>141</v>
      </c>
      <c r="F5" s="18" t="s">
        <v>142</v>
      </c>
    </row>
    <row r="6" customFormat="false" ht="15" hidden="false" customHeight="false" outlineLevel="0" collapsed="false">
      <c r="A6" s="15" t="s">
        <v>143</v>
      </c>
      <c r="B6" s="15" t="s">
        <v>144</v>
      </c>
      <c r="C6" s="28" t="n">
        <v>0.1</v>
      </c>
      <c r="D6" s="15" t="s">
        <v>145</v>
      </c>
      <c r="E6" s="15" t="s">
        <v>146</v>
      </c>
      <c r="F6" s="18" t="s">
        <v>147</v>
      </c>
    </row>
    <row r="7" customFormat="false" ht="15" hidden="false" customHeight="false" outlineLevel="0" collapsed="false">
      <c r="A7" s="15" t="s">
        <v>148</v>
      </c>
      <c r="B7" s="15" t="s">
        <v>149</v>
      </c>
      <c r="C7" s="28" t="n">
        <v>0.1</v>
      </c>
      <c r="D7" s="15" t="s">
        <v>145</v>
      </c>
      <c r="E7" s="15" t="s">
        <v>150</v>
      </c>
      <c r="F7" s="18" t="s">
        <v>151</v>
      </c>
    </row>
    <row r="8" customFormat="false" ht="15" hidden="false" customHeight="false" outlineLevel="0" collapsed="false">
      <c r="A8" s="15" t="s">
        <v>152</v>
      </c>
      <c r="B8" s="15" t="s">
        <v>153</v>
      </c>
      <c r="C8" s="28" t="n">
        <v>0.1</v>
      </c>
      <c r="D8" s="15" t="s">
        <v>136</v>
      </c>
      <c r="E8" s="15" t="s">
        <v>154</v>
      </c>
      <c r="F8" s="18" t="s">
        <v>155</v>
      </c>
    </row>
    <row r="9" customFormat="false" ht="15" hidden="false" customHeight="false" outlineLevel="0" collapsed="false">
      <c r="A9" s="15" t="s">
        <v>156</v>
      </c>
      <c r="B9" s="15" t="s">
        <v>31</v>
      </c>
      <c r="C9" s="28" t="n">
        <v>0.15</v>
      </c>
      <c r="D9" s="15" t="s">
        <v>145</v>
      </c>
      <c r="E9" s="15" t="s">
        <v>157</v>
      </c>
      <c r="F9" s="18" t="s">
        <v>158</v>
      </c>
    </row>
    <row r="10" customFormat="false" ht="15" hidden="false" customHeight="false" outlineLevel="0" collapsed="false">
      <c r="A10" s="15" t="s">
        <v>159</v>
      </c>
      <c r="B10" s="15" t="s">
        <v>160</v>
      </c>
      <c r="C10" s="28" t="n">
        <v>0.05</v>
      </c>
      <c r="D10" s="15" t="s">
        <v>136</v>
      </c>
      <c r="E10" s="15" t="s">
        <v>161</v>
      </c>
      <c r="F10" s="18" t="s">
        <v>162</v>
      </c>
    </row>
    <row r="11" customFormat="false" ht="15" hidden="false" customHeight="false" outlineLevel="0" collapsed="false">
      <c r="B11" s="5" t="s">
        <v>163</v>
      </c>
      <c r="C11" s="29" t="n">
        <f aca="false">SUM(C4:C10)</f>
        <v>1</v>
      </c>
      <c r="D11" s="5" t="str">
        <f aca="false">IF(ROUND(C11,4)=1,"OK","Weights must total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8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45" hidden="false" customHeight="true" outlineLevel="0" collapsed="false">
      <c r="A4" s="10" t="s">
        <v>24</v>
      </c>
      <c r="B4" s="10" t="s">
        <v>166</v>
      </c>
      <c r="C4" s="10" t="s">
        <v>167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172</v>
      </c>
      <c r="I4" s="10" t="s">
        <v>173</v>
      </c>
      <c r="J4" s="10" t="s">
        <v>174</v>
      </c>
      <c r="K4" s="10" t="s">
        <v>175</v>
      </c>
    </row>
    <row r="5" customFormat="false" ht="15" hidden="false" customHeight="false" outlineLevel="0" collapsed="false">
      <c r="A5" s="5" t="s">
        <v>176</v>
      </c>
      <c r="B5" s="30" t="n">
        <v>12.9698</v>
      </c>
      <c r="C5" s="30" t="n">
        <v>77.75</v>
      </c>
      <c r="D5" s="22" t="n">
        <v>105000</v>
      </c>
      <c r="E5" s="22" t="n">
        <v>125000</v>
      </c>
      <c r="F5" s="22" t="n">
        <v>24000</v>
      </c>
      <c r="G5" s="23" t="n">
        <v>0.35</v>
      </c>
      <c r="H5" s="24" t="n">
        <v>7</v>
      </c>
      <c r="I5" s="22" t="n">
        <v>145</v>
      </c>
      <c r="J5" s="24" t="n">
        <v>8</v>
      </c>
      <c r="K5" s="19" t="n">
        <v>0.045</v>
      </c>
    </row>
    <row r="6" customFormat="false" ht="15" hidden="false" customHeight="false" outlineLevel="0" collapsed="false">
      <c r="A6" s="5" t="s">
        <v>177</v>
      </c>
      <c r="B6" s="30" t="n">
        <v>12.9569</v>
      </c>
      <c r="C6" s="30" t="n">
        <v>77.7011</v>
      </c>
      <c r="D6" s="22" t="n">
        <v>105000</v>
      </c>
      <c r="E6" s="22" t="n">
        <v>95000</v>
      </c>
      <c r="F6" s="22" t="n">
        <v>32000</v>
      </c>
      <c r="G6" s="23" t="n">
        <v>0.25</v>
      </c>
      <c r="H6" s="24" t="n">
        <v>7</v>
      </c>
      <c r="I6" s="22" t="n">
        <v>150</v>
      </c>
      <c r="J6" s="24" t="n">
        <v>6</v>
      </c>
      <c r="K6" s="19" t="n">
        <v>0.035</v>
      </c>
    </row>
    <row r="7" customFormat="false" ht="15" hidden="false" customHeight="false" outlineLevel="0" collapsed="false">
      <c r="A7" s="5" t="s">
        <v>178</v>
      </c>
      <c r="B7" s="30" t="n">
        <v>12.926</v>
      </c>
      <c r="C7" s="30" t="n">
        <v>77.6762</v>
      </c>
      <c r="D7" s="22" t="n">
        <v>110000</v>
      </c>
      <c r="E7" s="22" t="n">
        <v>135000</v>
      </c>
      <c r="F7" s="22" t="n">
        <v>16000</v>
      </c>
      <c r="G7" s="23" t="n">
        <v>0.55</v>
      </c>
      <c r="H7" s="24" t="n">
        <v>5</v>
      </c>
      <c r="I7" s="22" t="n">
        <v>130</v>
      </c>
      <c r="J7" s="24" t="n">
        <v>4</v>
      </c>
      <c r="K7" s="19" t="n">
        <v>0.05</v>
      </c>
    </row>
    <row r="8" customFormat="false" ht="15" hidden="false" customHeight="false" outlineLevel="0" collapsed="false">
      <c r="A8" s="5" t="s">
        <v>179</v>
      </c>
      <c r="B8" s="30" t="n">
        <v>12.907</v>
      </c>
      <c r="C8" s="30" t="n">
        <v>77.699</v>
      </c>
      <c r="D8" s="22" t="n">
        <v>95000</v>
      </c>
      <c r="E8" s="22" t="n">
        <v>120000</v>
      </c>
      <c r="F8" s="22" t="n">
        <v>12000</v>
      </c>
      <c r="G8" s="23" t="n">
        <v>0.7</v>
      </c>
      <c r="H8" s="24" t="n">
        <v>3</v>
      </c>
      <c r="I8" s="22" t="n">
        <v>95</v>
      </c>
      <c r="J8" s="24" t="n">
        <v>5</v>
      </c>
      <c r="K8" s="19" t="n">
        <v>0.07</v>
      </c>
    </row>
    <row r="9" customFormat="false" ht="15" hidden="false" customHeight="false" outlineLevel="0" collapsed="false">
      <c r="A9" s="5" t="s">
        <v>180</v>
      </c>
      <c r="B9" s="30" t="n">
        <v>13.0358</v>
      </c>
      <c r="C9" s="30" t="n">
        <v>77.597</v>
      </c>
      <c r="D9" s="22" t="n">
        <v>100000</v>
      </c>
      <c r="E9" s="22" t="n">
        <v>105000</v>
      </c>
      <c r="F9" s="22" t="n">
        <v>15000</v>
      </c>
      <c r="G9" s="23" t="n">
        <v>0.6</v>
      </c>
      <c r="H9" s="24" t="n">
        <v>4</v>
      </c>
      <c r="I9" s="22" t="n">
        <v>120</v>
      </c>
      <c r="J9" s="24" t="n">
        <v>7</v>
      </c>
      <c r="K9" s="19" t="n">
        <v>0.04</v>
      </c>
    </row>
    <row r="10" customFormat="false" ht="15" hidden="false" customHeight="false" outlineLevel="0" collapsed="false">
      <c r="A10" s="5" t="s">
        <v>181</v>
      </c>
      <c r="B10" s="30" t="n">
        <v>12.8452</v>
      </c>
      <c r="C10" s="30" t="n">
        <v>77.6602</v>
      </c>
      <c r="D10" s="22" t="n">
        <v>90000</v>
      </c>
      <c r="E10" s="22" t="n">
        <v>95000</v>
      </c>
      <c r="F10" s="22" t="n">
        <v>20000</v>
      </c>
      <c r="G10" s="23" t="n">
        <v>0.4</v>
      </c>
      <c r="H10" s="24" t="n">
        <v>4</v>
      </c>
      <c r="I10" s="22" t="n">
        <v>75</v>
      </c>
      <c r="J10" s="24" t="n">
        <v>7</v>
      </c>
      <c r="K10" s="19" t="n">
        <v>0.05</v>
      </c>
    </row>
    <row r="11" customFormat="false" ht="15" hidden="false" customHeight="false" outlineLevel="0" collapsed="false">
      <c r="A11" s="5" t="s">
        <v>182</v>
      </c>
      <c r="B11" s="30" t="n">
        <v>12.8856</v>
      </c>
      <c r="C11" s="30" t="n">
        <v>77.564</v>
      </c>
      <c r="D11" s="22" t="n">
        <v>105000</v>
      </c>
      <c r="E11" s="22" t="n">
        <v>85000</v>
      </c>
      <c r="F11" s="22" t="n">
        <v>13000</v>
      </c>
      <c r="G11" s="23" t="n">
        <v>0.8</v>
      </c>
      <c r="H11" s="24" t="n">
        <v>2</v>
      </c>
      <c r="I11" s="22" t="n">
        <v>65</v>
      </c>
      <c r="J11" s="24" t="n">
        <v>8</v>
      </c>
      <c r="K11" s="19" t="n">
        <v>0.055</v>
      </c>
    </row>
    <row r="12" customFormat="false" ht="15" hidden="false" customHeight="false" outlineLevel="0" collapsed="false">
      <c r="A12" s="5" t="s">
        <v>183</v>
      </c>
      <c r="B12" s="30" t="n">
        <v>13.1007</v>
      </c>
      <c r="C12" s="30" t="n">
        <v>77.5963</v>
      </c>
      <c r="D12" s="22" t="n">
        <v>85000</v>
      </c>
      <c r="E12" s="22" t="n">
        <v>80000</v>
      </c>
      <c r="F12" s="22" t="n">
        <v>11000</v>
      </c>
      <c r="G12" s="23" t="n">
        <v>0.75</v>
      </c>
      <c r="H12" s="24" t="n">
        <v>2</v>
      </c>
      <c r="I12" s="22" t="n">
        <v>70</v>
      </c>
      <c r="J12" s="24" t="n">
        <v>6</v>
      </c>
      <c r="K12" s="19" t="n">
        <v>0.045</v>
      </c>
    </row>
    <row r="14" customFormat="false" ht="15" hidden="false" customHeight="false" outlineLevel="0" collapsed="false">
      <c r="A14" s="2" t="s">
        <v>184</v>
      </c>
    </row>
    <row r="15" customFormat="false" ht="15" hidden="false" customHeight="false" outlineLevel="0" collapsed="false">
      <c r="A15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7" min="2" style="0" width="16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45" hidden="false" customHeight="true" outlineLevel="0" collapsed="false">
      <c r="A4" s="10" t="s">
        <v>24</v>
      </c>
      <c r="B4" s="10" t="s">
        <v>166</v>
      </c>
      <c r="C4" s="10" t="s">
        <v>167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172</v>
      </c>
      <c r="I4" s="10" t="s">
        <v>173</v>
      </c>
      <c r="J4" s="10" t="s">
        <v>174</v>
      </c>
      <c r="K4" s="10" t="s">
        <v>175</v>
      </c>
      <c r="L4" s="10" t="s">
        <v>188</v>
      </c>
      <c r="M4" s="10" t="s">
        <v>189</v>
      </c>
      <c r="N4" s="10" t="s">
        <v>190</v>
      </c>
      <c r="O4" s="10" t="s">
        <v>191</v>
      </c>
      <c r="P4" s="10" t="s">
        <v>192</v>
      </c>
      <c r="Q4" s="10" t="s">
        <v>193</v>
      </c>
    </row>
    <row r="5" customFormat="false" ht="15" hidden="false" customHeight="false" outlineLevel="0" collapsed="false">
      <c r="A5" s="5" t="s">
        <v>194</v>
      </c>
      <c r="B5" s="30" t="n">
        <v>12.9352</v>
      </c>
      <c r="C5" s="30" t="n">
        <v>77.6245</v>
      </c>
      <c r="D5" s="22" t="n">
        <v>110000</v>
      </c>
      <c r="E5" s="22" t="n">
        <v>115000</v>
      </c>
      <c r="F5" s="22" t="n">
        <v>19000</v>
      </c>
      <c r="G5" s="23" t="n">
        <v>0.55</v>
      </c>
      <c r="H5" s="24" t="n">
        <v>6</v>
      </c>
      <c r="I5" s="22" t="n">
        <v>165</v>
      </c>
      <c r="J5" s="24" t="n">
        <v>8</v>
      </c>
      <c r="K5" s="19" t="n">
        <v>0.02</v>
      </c>
      <c r="L5" s="17" t="n">
        <v>31.5</v>
      </c>
      <c r="M5" s="11" t="n">
        <f aca="false">(D5/Assumptions!$B$4)*(E5*Assumptions!$B$5)*MIN(Assumptions!$B$8,Assumptions!$B$6+Assumptions!$B$7*E5/1000)*((J5/Assumptions!$B$10)/((J5/Assumptions!$B$10)+H5+Assumptions!$B$9))*12/10^7</f>
        <v>24.4042105263158</v>
      </c>
      <c r="N5" s="11" t="n">
        <f aca="false">((F5*G5*Assumptions!$B$11+F5*(1-G5)*Assumptions!$B$12)*Assumptions!$B$13)*(Assumptions!$B$14+Assumptions!$B$15*E5/1000)*Assumptions!$B$17/10^7</f>
        <v>24.8684765625</v>
      </c>
      <c r="O5" s="11" t="n">
        <f aca="false">Assumptions!$B$16*M5+(1-Assumptions!$B$16)*N5</f>
        <v>24.6363435444079</v>
      </c>
      <c r="P5" s="11" t="n">
        <f aca="false">O5*$C$13</f>
        <v>31.4059154888297</v>
      </c>
      <c r="Q5" s="31" t="n">
        <f aca="false">ABS(P5-L5)/L5</f>
        <v>0.00298680987842305</v>
      </c>
    </row>
    <row r="6" customFormat="false" ht="15" hidden="false" customHeight="false" outlineLevel="0" collapsed="false">
      <c r="A6" s="5" t="s">
        <v>195</v>
      </c>
      <c r="B6" s="30" t="n">
        <v>12.9784</v>
      </c>
      <c r="C6" s="30" t="n">
        <v>77.6408</v>
      </c>
      <c r="D6" s="22" t="n">
        <v>95000</v>
      </c>
      <c r="E6" s="22" t="n">
        <v>130000</v>
      </c>
      <c r="F6" s="22" t="n">
        <v>21000</v>
      </c>
      <c r="G6" s="23" t="n">
        <v>0.45</v>
      </c>
      <c r="H6" s="24" t="n">
        <v>6</v>
      </c>
      <c r="I6" s="22" t="n">
        <v>180</v>
      </c>
      <c r="J6" s="24" t="n">
        <v>9</v>
      </c>
      <c r="K6" s="19" t="n">
        <v>0.015</v>
      </c>
      <c r="L6" s="17" t="n">
        <v>30.2</v>
      </c>
      <c r="M6" s="11" t="n">
        <f aca="false">(D6/Assumptions!$B$4)*(E6*Assumptions!$B$5)*MIN(Assumptions!$B$8,Assumptions!$B$6+Assumptions!$B$7*E6/1000)*((J6/Assumptions!$B$10)/((J6/Assumptions!$B$10)+H6+Assumptions!$B$9))*12/10^7</f>
        <v>28.7648780487805</v>
      </c>
      <c r="N6" s="11" t="n">
        <f aca="false">((F6*G6*Assumptions!$B$11+F6*(1-G6)*Assumptions!$B$12)*Assumptions!$B$13)*(Assumptions!$B$14+Assumptions!$B$15*E6/1000)*Assumptions!$B$17/10^7</f>
        <v>25.222640625</v>
      </c>
      <c r="O6" s="11" t="n">
        <f aca="false">Assumptions!$B$16*M6+(1-Assumptions!$B$16)*N6</f>
        <v>26.9937593368902</v>
      </c>
      <c r="P6" s="11" t="n">
        <f aca="false">O6*$C$13</f>
        <v>34.4111017502276</v>
      </c>
      <c r="Q6" s="31" t="n">
        <f aca="false">ABS(P6-L6)/L6</f>
        <v>0.139440455305548</v>
      </c>
    </row>
    <row r="7" customFormat="false" ht="15" hidden="false" customHeight="false" outlineLevel="0" collapsed="false">
      <c r="A7" s="5" t="s">
        <v>196</v>
      </c>
      <c r="B7" s="30" t="n">
        <v>12.925</v>
      </c>
      <c r="C7" s="30" t="n">
        <v>77.5938</v>
      </c>
      <c r="D7" s="22" t="n">
        <v>120000</v>
      </c>
      <c r="E7" s="22" t="n">
        <v>95000</v>
      </c>
      <c r="F7" s="22" t="n">
        <v>17000</v>
      </c>
      <c r="G7" s="23" t="n">
        <v>0.7</v>
      </c>
      <c r="H7" s="24" t="n">
        <v>5</v>
      </c>
      <c r="I7" s="22" t="n">
        <v>140</v>
      </c>
      <c r="J7" s="24" t="n">
        <v>8</v>
      </c>
      <c r="K7" s="19" t="n">
        <v>0.01</v>
      </c>
      <c r="L7" s="17" t="n">
        <v>29.8</v>
      </c>
      <c r="M7" s="11" t="n">
        <f aca="false">(D7/Assumptions!$B$4)*(E7*Assumptions!$B$5)*MIN(Assumptions!$B$8,Assumptions!$B$6+Assumptions!$B$7*E7/1000)*((J7/Assumptions!$B$10)/((J7/Assumptions!$B$10)+H7+Assumptions!$B$9))*12/10^7</f>
        <v>21.8557009345794</v>
      </c>
      <c r="N7" s="11" t="n">
        <f aca="false">((F7*G7*Assumptions!$B$11+F7*(1-G7)*Assumptions!$B$12)*Assumptions!$B$13)*(Assumptions!$B$14+Assumptions!$B$15*E7/1000)*Assumptions!$B$17/10^7</f>
        <v>24.606703125</v>
      </c>
      <c r="O7" s="11" t="n">
        <f aca="false">Assumptions!$B$16*M7+(1-Assumptions!$B$16)*N7</f>
        <v>23.2312020297897</v>
      </c>
      <c r="P7" s="11" t="n">
        <f aca="false">O7*$C$13</f>
        <v>29.6146693333927</v>
      </c>
      <c r="Q7" s="31" t="n">
        <f aca="false">ABS(P7-L7)/L7</f>
        <v>0.00621914988615028</v>
      </c>
    </row>
    <row r="8" customFormat="false" ht="15" hidden="false" customHeight="false" outlineLevel="0" collapsed="false">
      <c r="A8" s="5" t="s">
        <v>197</v>
      </c>
      <c r="B8" s="30" t="n">
        <v>13.0035</v>
      </c>
      <c r="C8" s="30" t="n">
        <v>77.5709</v>
      </c>
      <c r="D8" s="22" t="n">
        <v>100000</v>
      </c>
      <c r="E8" s="22" t="n">
        <v>90000</v>
      </c>
      <c r="F8" s="22" t="n">
        <v>15000</v>
      </c>
      <c r="G8" s="23" t="n">
        <v>0.7</v>
      </c>
      <c r="H8" s="24" t="n">
        <v>4</v>
      </c>
      <c r="I8" s="22" t="n">
        <v>130</v>
      </c>
      <c r="J8" s="24" t="n">
        <v>7</v>
      </c>
      <c r="K8" s="19" t="n">
        <v>0.01</v>
      </c>
      <c r="L8" s="17" t="n">
        <v>26.1</v>
      </c>
      <c r="M8" s="11" t="n">
        <f aca="false">(D8/Assumptions!$B$4)*(E8*Assumptions!$B$5)*MIN(Assumptions!$B$8,Assumptions!$B$6+Assumptions!$B$7*E8/1000)*((J8/Assumptions!$B$10)/((J8/Assumptions!$B$10)+H8+Assumptions!$B$9))*12/10^7</f>
        <v>17.1400809716599</v>
      </c>
      <c r="N8" s="11" t="n">
        <f aca="false">((F8*G8*Assumptions!$B$11+F8*(1-G8)*Assumptions!$B$12)*Assumptions!$B$13)*(Assumptions!$B$14+Assumptions!$B$15*E8/1000)*Assumptions!$B$17/10^7</f>
        <v>21.24984375</v>
      </c>
      <c r="O8" s="11" t="n">
        <f aca="false">Assumptions!$B$16*M8+(1-Assumptions!$B$16)*N8</f>
        <v>19.19496236083</v>
      </c>
      <c r="P8" s="11" t="n">
        <f aca="false">O8*$C$13</f>
        <v>24.4693521434648</v>
      </c>
      <c r="Q8" s="31" t="n">
        <f aca="false">ABS(P8-L8)/L8</f>
        <v>0.0624769293691654</v>
      </c>
    </row>
    <row r="9" customFormat="false" ht="15" hidden="false" customHeight="false" outlineLevel="0" collapsed="false">
      <c r="A9" s="5" t="s">
        <v>198</v>
      </c>
      <c r="B9" s="30" t="n">
        <v>12.9116</v>
      </c>
      <c r="C9" s="30" t="n">
        <v>77.6474</v>
      </c>
      <c r="D9" s="22" t="n">
        <v>105000</v>
      </c>
      <c r="E9" s="22" t="n">
        <v>110000</v>
      </c>
      <c r="F9" s="22" t="n">
        <v>16000</v>
      </c>
      <c r="G9" s="23" t="n">
        <v>0.65</v>
      </c>
      <c r="H9" s="24" t="n">
        <v>5</v>
      </c>
      <c r="I9" s="22" t="n">
        <v>120</v>
      </c>
      <c r="J9" s="24" t="n">
        <v>6</v>
      </c>
      <c r="K9" s="19" t="n">
        <v>0.03</v>
      </c>
      <c r="L9" s="17" t="n">
        <v>28.4</v>
      </c>
      <c r="M9" s="11" t="n">
        <f aca="false">(D9/Assumptions!$B$4)*(E9*Assumptions!$B$5)*MIN(Assumptions!$B$8,Assumptions!$B$6+Assumptions!$B$7*E9/1000)*((J9/Assumptions!$B$10)/((J9/Assumptions!$B$10)+H9+Assumptions!$B$9))*12/10^7</f>
        <v>19.0371384772611</v>
      </c>
      <c r="N9" s="11" t="n">
        <f aca="false">((F9*G9*Assumptions!$B$11+F9*(1-G9)*Assumptions!$B$12)*Assumptions!$B$13)*(Assumptions!$B$14+Assumptions!$B$15*E9/1000)*Assumptions!$B$17/10^7</f>
        <v>23.26875</v>
      </c>
      <c r="O9" s="11" t="n">
        <f aca="false">Assumptions!$B$16*M9+(1-Assumptions!$B$16)*N9</f>
        <v>21.1529442386306</v>
      </c>
      <c r="P9" s="11" t="n">
        <f aca="false">O9*$C$13</f>
        <v>26.9653480802004</v>
      </c>
      <c r="Q9" s="31" t="n">
        <f aca="false">ABS(P9-L9)/L9</f>
        <v>0.0505159126689987</v>
      </c>
    </row>
    <row r="10" customFormat="false" ht="15" hidden="false" customHeight="false" outlineLevel="0" collapsed="false">
      <c r="A10" s="5" t="s">
        <v>199</v>
      </c>
      <c r="B10" s="30" t="n">
        <v>12.9915</v>
      </c>
      <c r="C10" s="30" t="n">
        <v>77.5545</v>
      </c>
      <c r="D10" s="22" t="n">
        <v>115000</v>
      </c>
      <c r="E10" s="22" t="n">
        <v>80000</v>
      </c>
      <c r="F10" s="22" t="n">
        <v>14000</v>
      </c>
      <c r="G10" s="23" t="n">
        <v>0.75</v>
      </c>
      <c r="H10" s="24" t="n">
        <v>4</v>
      </c>
      <c r="I10" s="22" t="n">
        <v>110</v>
      </c>
      <c r="J10" s="24" t="n">
        <v>7</v>
      </c>
      <c r="K10" s="19" t="n">
        <v>0.01</v>
      </c>
      <c r="L10" s="17" t="n">
        <v>24</v>
      </c>
      <c r="M10" s="11" t="n">
        <f aca="false">(D10/Assumptions!$B$4)*(E10*Assumptions!$B$5)*MIN(Assumptions!$B$8,Assumptions!$B$6+Assumptions!$B$7*E10/1000)*((J10/Assumptions!$B$10)/((J10/Assumptions!$B$10)+H10+Assumptions!$B$9))*12/10^7</f>
        <v>16.2694736842105</v>
      </c>
      <c r="N10" s="11" t="n">
        <f aca="false">((F10*G10*Assumptions!$B$11+F10*(1-G10)*Assumptions!$B$12)*Assumptions!$B$13)*(Assumptions!$B$14+Assumptions!$B$15*E10/1000)*Assumptions!$B$17/10^7</f>
        <v>20.0248125</v>
      </c>
      <c r="O10" s="11" t="n">
        <f aca="false">Assumptions!$B$16*M10+(1-Assumptions!$B$16)*N10</f>
        <v>18.1471430921053</v>
      </c>
      <c r="P10" s="11" t="n">
        <f aca="false">O10*$C$13</f>
        <v>23.1336132038848</v>
      </c>
      <c r="Q10" s="31" t="n">
        <f aca="false">ABS(P10-L10)/L10</f>
        <v>0.0360994498381323</v>
      </c>
    </row>
    <row r="13" customFormat="false" ht="15" hidden="false" customHeight="false" outlineLevel="0" collapsed="false">
      <c r="A13" s="5" t="s">
        <v>200</v>
      </c>
      <c r="C13" s="32" t="n">
        <f aca="false">SUM(L5:L10)/SUM(O5:O10)</f>
        <v>1.27477989711498</v>
      </c>
    </row>
    <row r="14" customFormat="false" ht="15" hidden="false" customHeight="false" outlineLevel="0" collapsed="false">
      <c r="A14" s="5" t="s">
        <v>201</v>
      </c>
      <c r="C14" s="33" t="n">
        <f aca="false">AVERAGE(Q5:Q10)</f>
        <v>0.049623117824403</v>
      </c>
    </row>
    <row r="16" customFormat="false" ht="15" hidden="false" customHeight="false" outlineLevel="0" collapsed="false">
      <c r="A16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  <col collapsed="false" customWidth="true" hidden="false" outlineLevel="0" max="8" min="8" style="0" width="20"/>
    <col collapsed="false" customWidth="true" hidden="false" outlineLevel="0" max="10" min="9" style="0" width="15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45" hidden="false" customHeight="true" outlineLevel="0" collapsed="false">
      <c r="A4" s="10" t="s">
        <v>205</v>
      </c>
      <c r="B4" s="10" t="s">
        <v>194</v>
      </c>
      <c r="C4" s="10" t="s">
        <v>195</v>
      </c>
      <c r="D4" s="10" t="s">
        <v>196</v>
      </c>
      <c r="E4" s="10" t="s">
        <v>197</v>
      </c>
      <c r="F4" s="10" t="s">
        <v>198</v>
      </c>
      <c r="G4" s="10" t="s">
        <v>199</v>
      </c>
      <c r="H4" s="10" t="s">
        <v>206</v>
      </c>
      <c r="I4" s="10" t="s">
        <v>207</v>
      </c>
    </row>
    <row r="5" customFormat="false" ht="15" hidden="false" customHeight="false" outlineLevel="0" collapsed="false">
      <c r="A5" s="34" t="str">
        <f aca="false">Candidates!A5</f>
        <v>Whitefield</v>
      </c>
      <c r="B5" s="11" t="n">
        <f aca="false">2*6371*ASIN(SQRT(SIN(RADIANS(Existing_Stores!$B$5-Candidates!$B$5)/2)^2+COS(RADIANS(Candidates!$B$5))*COS(RADIANS(Existing_Stores!$B$5))*SIN(RADIANS(Existing_Stores!$C$5-Candidates!$C$5)/2)^2))</f>
        <v>14.1336205017266</v>
      </c>
      <c r="C5" s="11" t="n">
        <f aca="false">2*6371*ASIN(SQRT(SIN(RADIANS(Existing_Stores!$B$6-Candidates!$B$5)/2)^2+COS(RADIANS(Candidates!$B$5))*COS(RADIANS(Existing_Stores!$B$6))*SIN(RADIANS(Existing_Stores!$C$6-Candidates!$C$5)/2)^2))</f>
        <v>11.8710874271583</v>
      </c>
      <c r="D5" s="11" t="n">
        <f aca="false">2*6371*ASIN(SQRT(SIN(RADIANS(Existing_Stores!$B$7-Candidates!$B$5)/2)^2+COS(RADIANS(Candidates!$B$5))*COS(RADIANS(Existing_Stores!$B$7))*SIN(RADIANS(Existing_Stores!$C$7-Candidates!$C$5)/2)^2))</f>
        <v>17.6448672564457</v>
      </c>
      <c r="E5" s="11" t="n">
        <f aca="false">2*6371*ASIN(SQRT(SIN(RADIANS(Existing_Stores!$B$8-Candidates!$B$5)/2)^2+COS(RADIANS(Candidates!$B$5))*COS(RADIANS(Existing_Stores!$B$8))*SIN(RADIANS(Existing_Stores!$C$8-Candidates!$C$5)/2)^2))</f>
        <v>19.7641249772013</v>
      </c>
      <c r="F5" s="11" t="n">
        <f aca="false">2*6371*ASIN(SQRT(SIN(RADIANS(Existing_Stores!$B$9-Candidates!$B$5)/2)^2+COS(RADIANS(Candidates!$B$5))*COS(RADIANS(Existing_Stores!$B$9))*SIN(RADIANS(Existing_Stores!$C$9-Candidates!$C$5)/2)^2))</f>
        <v>12.8650556993089</v>
      </c>
      <c r="G5" s="11" t="n">
        <f aca="false">2*6371*ASIN(SQRT(SIN(RADIANS(Existing_Stores!$B$10-Candidates!$B$5)/2)^2+COS(RADIANS(Candidates!$B$5))*COS(RADIANS(Existing_Stores!$B$10))*SIN(RADIANS(Existing_Stores!$C$10-Candidates!$C$5)/2)^2))</f>
        <v>21.3200820777417</v>
      </c>
      <c r="H5" s="15" t="str">
        <f aca="false">INDEX($B$4:$G$4,MATCH(MIN(B5:G5),B5:G5,0))</f>
        <v>Indiranagar</v>
      </c>
      <c r="I5" s="11" t="n">
        <f aca="false">MIN(B5:G5)</f>
        <v>11.8710874271583</v>
      </c>
    </row>
    <row r="6" customFormat="false" ht="15" hidden="false" customHeight="false" outlineLevel="0" collapsed="false">
      <c r="A6" s="34" t="str">
        <f aca="false">Candidates!A6</f>
        <v>Marathahalli</v>
      </c>
      <c r="B6" s="11" t="n">
        <f aca="false">2*6371*ASIN(SQRT(SIN(RADIANS(Existing_Stores!$B$5-Candidates!$B$6)/2)^2+COS(RADIANS(Candidates!$B$6))*COS(RADIANS(Existing_Stores!$B$5))*SIN(RADIANS(Existing_Stores!$C$5-Candidates!$C$6)/2)^2))</f>
        <v>8.64461081934001</v>
      </c>
      <c r="C6" s="11" t="n">
        <f aca="false">2*6371*ASIN(SQRT(SIN(RADIANS(Existing_Stores!$B$6-Candidates!$B$6)/2)^2+COS(RADIANS(Candidates!$B$6))*COS(RADIANS(Existing_Stores!$B$6))*SIN(RADIANS(Existing_Stores!$C$6-Candidates!$C$6)/2)^2))</f>
        <v>6.9576771353932</v>
      </c>
      <c r="D6" s="11" t="n">
        <f aca="false">2*6371*ASIN(SQRT(SIN(RADIANS(Existing_Stores!$B$7-Candidates!$B$6)/2)^2+COS(RADIANS(Candidates!$B$6))*COS(RADIANS(Existing_Stores!$B$7))*SIN(RADIANS(Existing_Stores!$C$7-Candidates!$C$6)/2)^2))</f>
        <v>12.1571622790882</v>
      </c>
      <c r="E6" s="11" t="n">
        <f aca="false">2*6371*ASIN(SQRT(SIN(RADIANS(Existing_Stores!$B$8-Candidates!$B$6)/2)^2+COS(RADIANS(Candidates!$B$6))*COS(RADIANS(Existing_Stores!$B$8))*SIN(RADIANS(Existing_Stores!$C$8-Candidates!$C$6)/2)^2))</f>
        <v>15.0291538293947</v>
      </c>
      <c r="F6" s="11" t="n">
        <f aca="false">2*6371*ASIN(SQRT(SIN(RADIANS(Existing_Stores!$B$9-Candidates!$B$6)/2)^2+COS(RADIANS(Candidates!$B$6))*COS(RADIANS(Existing_Stores!$B$9))*SIN(RADIANS(Existing_Stores!$C$9-Candidates!$C$6)/2)^2))</f>
        <v>7.69682877938231</v>
      </c>
      <c r="G6" s="11" t="n">
        <f aca="false">2*6371*ASIN(SQRT(SIN(RADIANS(Existing_Stores!$B$10-Candidates!$B$6)/2)^2+COS(RADIANS(Candidates!$B$6))*COS(RADIANS(Existing_Stores!$B$10))*SIN(RADIANS(Existing_Stores!$C$10-Candidates!$C$6)/2)^2))</f>
        <v>16.3443002467307</v>
      </c>
      <c r="H6" s="15" t="str">
        <f aca="false">INDEX($B$4:$G$4,MATCH(MIN(B6:G6),B6:G6,0))</f>
        <v>Indiranagar</v>
      </c>
      <c r="I6" s="11" t="n">
        <f aca="false">MIN(B6:G6)</f>
        <v>6.9576771353932</v>
      </c>
    </row>
    <row r="7" customFormat="false" ht="15" hidden="false" customHeight="false" outlineLevel="0" collapsed="false">
      <c r="A7" s="34" t="str">
        <f aca="false">Candidates!A7</f>
        <v>Bellandur</v>
      </c>
      <c r="B7" s="11" t="n">
        <f aca="false">2*6371*ASIN(SQRT(SIN(RADIANS(Existing_Stores!$B$5-Candidates!$B$7)/2)^2+COS(RADIANS(Candidates!$B$7))*COS(RADIANS(Existing_Stores!$B$5))*SIN(RADIANS(Existing_Stores!$C$5-Candidates!$C$7)/2)^2))</f>
        <v>5.69562244862835</v>
      </c>
      <c r="C7" s="11" t="n">
        <f aca="false">2*6371*ASIN(SQRT(SIN(RADIANS(Existing_Stores!$B$6-Candidates!$B$7)/2)^2+COS(RADIANS(Candidates!$B$7))*COS(RADIANS(Existing_Stores!$B$6))*SIN(RADIANS(Existing_Stores!$C$6-Candidates!$C$7)/2)^2))</f>
        <v>6.97606502638405</v>
      </c>
      <c r="D7" s="11" t="n">
        <f aca="false">2*6371*ASIN(SQRT(SIN(RADIANS(Existing_Stores!$B$7-Candidates!$B$7)/2)^2+COS(RADIANS(Candidates!$B$7))*COS(RADIANS(Existing_Stores!$B$7))*SIN(RADIANS(Existing_Stores!$C$7-Candidates!$C$7)/2)^2))</f>
        <v>8.93099329755137</v>
      </c>
      <c r="E7" s="11" t="n">
        <f aca="false">2*6371*ASIN(SQRT(SIN(RADIANS(Existing_Stores!$B$8-Candidates!$B$7)/2)^2+COS(RADIANS(Candidates!$B$7))*COS(RADIANS(Existing_Stores!$B$8))*SIN(RADIANS(Existing_Stores!$C$8-Candidates!$C$7)/2)^2))</f>
        <v>14.2989214758679</v>
      </c>
      <c r="F7" s="11" t="n">
        <f aca="false">2*6371*ASIN(SQRT(SIN(RADIANS(Existing_Stores!$B$9-Candidates!$B$7)/2)^2+COS(RADIANS(Candidates!$B$7))*COS(RADIANS(Existing_Stores!$B$9))*SIN(RADIANS(Existing_Stores!$C$9-Candidates!$C$7)/2)^2))</f>
        <v>3.50809272777276</v>
      </c>
      <c r="G7" s="11" t="n">
        <f aca="false">2*6371*ASIN(SQRT(SIN(RADIANS(Existing_Stores!$B$10-Candidates!$B$7)/2)^2+COS(RADIANS(Candidates!$B$7))*COS(RADIANS(Existing_Stores!$B$10))*SIN(RADIANS(Existing_Stores!$C$10-Candidates!$C$7)/2)^2))</f>
        <v>15.0653041765244</v>
      </c>
      <c r="H7" s="15" t="str">
        <f aca="false">INDEX($B$4:$G$4,MATCH(MIN(B7:G7),B7:G7,0))</f>
        <v>HSR Layout</v>
      </c>
      <c r="I7" s="11" t="n">
        <f aca="false">MIN(B7:G7)</f>
        <v>3.50809272777276</v>
      </c>
    </row>
    <row r="8" customFormat="false" ht="15" hidden="false" customHeight="false" outlineLevel="0" collapsed="false">
      <c r="A8" s="34" t="str">
        <f aca="false">Candidates!A8</f>
        <v>Sarjapur Road</v>
      </c>
      <c r="B8" s="11" t="n">
        <f aca="false">2*6371*ASIN(SQRT(SIN(RADIANS(Existing_Stores!$B$5-Candidates!$B$8)/2)^2+COS(RADIANS(Candidates!$B$8))*COS(RADIANS(Existing_Stores!$B$5))*SIN(RADIANS(Existing_Stores!$C$5-Candidates!$C$8)/2)^2))</f>
        <v>8.66177196221331</v>
      </c>
      <c r="C8" s="11" t="n">
        <f aca="false">2*6371*ASIN(SQRT(SIN(RADIANS(Existing_Stores!$B$6-Candidates!$B$8)/2)^2+COS(RADIANS(Candidates!$B$8))*COS(RADIANS(Existing_Stores!$B$6))*SIN(RADIANS(Existing_Stores!$C$6-Candidates!$C$8)/2)^2))</f>
        <v>10.1396586184046</v>
      </c>
      <c r="D8" s="11" t="n">
        <f aca="false">2*6371*ASIN(SQRT(SIN(RADIANS(Existing_Stores!$B$7-Candidates!$B$8)/2)^2+COS(RADIANS(Candidates!$B$8))*COS(RADIANS(Existing_Stores!$B$7))*SIN(RADIANS(Existing_Stores!$C$7-Candidates!$C$8)/2)^2))</f>
        <v>11.5760839119747</v>
      </c>
      <c r="E8" s="11" t="n">
        <f aca="false">2*6371*ASIN(SQRT(SIN(RADIANS(Existing_Stores!$B$8-Candidates!$B$8)/2)^2+COS(RADIANS(Candidates!$B$8))*COS(RADIANS(Existing_Stores!$B$8))*SIN(RADIANS(Existing_Stores!$C$8-Candidates!$C$8)/2)^2))</f>
        <v>17.5452380239579</v>
      </c>
      <c r="F8" s="11" t="n">
        <f aca="false">2*6371*ASIN(SQRT(SIN(RADIANS(Existing_Stores!$B$9-Candidates!$B$8)/2)^2+COS(RADIANS(Candidates!$B$8))*COS(RADIANS(Existing_Stores!$B$9))*SIN(RADIANS(Existing_Stores!$C$9-Candidates!$C$8)/2)^2))</f>
        <v>5.61598032807623</v>
      </c>
      <c r="G8" s="11" t="n">
        <f aca="false">2*6371*ASIN(SQRT(SIN(RADIANS(Existing_Stores!$B$10-Candidates!$B$8)/2)^2+COS(RADIANS(Candidates!$B$8))*COS(RADIANS(Existing_Stores!$B$10))*SIN(RADIANS(Existing_Stores!$C$10-Candidates!$C$8)/2)^2))</f>
        <v>18.2617095127759</v>
      </c>
      <c r="H8" s="15" t="str">
        <f aca="false">INDEX($B$4:$G$4,MATCH(MIN(B8:G8),B8:G8,0))</f>
        <v>HSR Layout</v>
      </c>
      <c r="I8" s="11" t="n">
        <f aca="false">MIN(B8:G8)</f>
        <v>5.61598032807623</v>
      </c>
    </row>
    <row r="9" customFormat="false" ht="15" hidden="false" customHeight="false" outlineLevel="0" collapsed="false">
      <c r="A9" s="34" t="str">
        <f aca="false">Candidates!A9</f>
        <v>Hebbal</v>
      </c>
      <c r="B9" s="11" t="n">
        <f aca="false">2*6371*ASIN(SQRT(SIN(RADIANS(Existing_Stores!$B$5-Candidates!$B$9)/2)^2+COS(RADIANS(Candidates!$B$9))*COS(RADIANS(Existing_Stores!$B$5))*SIN(RADIANS(Existing_Stores!$C$5-Candidates!$C$9)/2)^2))</f>
        <v>11.5762544408031</v>
      </c>
      <c r="C9" s="11" t="n">
        <f aca="false">2*6371*ASIN(SQRT(SIN(RADIANS(Existing_Stores!$B$6-Candidates!$B$9)/2)^2+COS(RADIANS(Candidates!$B$9))*COS(RADIANS(Existing_Stores!$B$6))*SIN(RADIANS(Existing_Stores!$C$6-Candidates!$C$9)/2)^2))</f>
        <v>7.95336573276458</v>
      </c>
      <c r="D9" s="11" t="n">
        <f aca="false">2*6371*ASIN(SQRT(SIN(RADIANS(Existing_Stores!$B$7-Candidates!$B$9)/2)^2+COS(RADIANS(Candidates!$B$9))*COS(RADIANS(Existing_Stores!$B$7))*SIN(RADIANS(Existing_Stores!$C$7-Candidates!$C$9)/2)^2))</f>
        <v>12.3252759133654</v>
      </c>
      <c r="E9" s="11" t="n">
        <f aca="false">2*6371*ASIN(SQRT(SIN(RADIANS(Existing_Stores!$B$8-Candidates!$B$9)/2)^2+COS(RADIANS(Candidates!$B$9))*COS(RADIANS(Existing_Stores!$B$8))*SIN(RADIANS(Existing_Stores!$C$8-Candidates!$C$9)/2)^2))</f>
        <v>4.57108026472772</v>
      </c>
      <c r="F9" s="11" t="n">
        <f aca="false">2*6371*ASIN(SQRT(SIN(RADIANS(Existing_Stores!$B$9-Candidates!$B$9)/2)^2+COS(RADIANS(Candidates!$B$9))*COS(RADIANS(Existing_Stores!$B$9))*SIN(RADIANS(Existing_Stores!$C$9-Candidates!$C$9)/2)^2))</f>
        <v>14.8509847218267</v>
      </c>
      <c r="G9" s="11" t="n">
        <f aca="false">2*6371*ASIN(SQRT(SIN(RADIANS(Existing_Stores!$B$10-Candidates!$B$9)/2)^2+COS(RADIANS(Candidates!$B$9))*COS(RADIANS(Existing_Stores!$B$10))*SIN(RADIANS(Existing_Stores!$C$10-Candidates!$C$9)/2)^2))</f>
        <v>6.74280528539319</v>
      </c>
      <c r="H9" s="15" t="str">
        <f aca="false">INDEX($B$4:$G$4,MATCH(MIN(B9:G9),B9:G9,0))</f>
        <v>Malleshwaram</v>
      </c>
      <c r="I9" s="11" t="n">
        <f aca="false">MIN(B9:G9)</f>
        <v>4.57108026472772</v>
      </c>
    </row>
    <row r="10" customFormat="false" ht="15" hidden="false" customHeight="false" outlineLevel="0" collapsed="false">
      <c r="A10" s="34" t="str">
        <f aca="false">Candidates!A10</f>
        <v>Electronic City</v>
      </c>
      <c r="B10" s="11" t="n">
        <f aca="false">2*6371*ASIN(SQRT(SIN(RADIANS(Existing_Stores!$B$5-Candidates!$B$10)/2)^2+COS(RADIANS(Candidates!$B$10))*COS(RADIANS(Existing_Stores!$B$5))*SIN(RADIANS(Existing_Stores!$C$5-Candidates!$C$10)/2)^2))</f>
        <v>10.7296266304501</v>
      </c>
      <c r="C10" s="11" t="n">
        <f aca="false">2*6371*ASIN(SQRT(SIN(RADIANS(Existing_Stores!$B$6-Candidates!$B$10)/2)^2+COS(RADIANS(Candidates!$B$10))*COS(RADIANS(Existing_Stores!$B$6))*SIN(RADIANS(Existing_Stores!$C$6-Candidates!$C$10)/2)^2))</f>
        <v>14.9596680662255</v>
      </c>
      <c r="D10" s="11" t="n">
        <f aca="false">2*6371*ASIN(SQRT(SIN(RADIANS(Existing_Stores!$B$7-Candidates!$B$10)/2)^2+COS(RADIANS(Candidates!$B$10))*COS(RADIANS(Existing_Stores!$B$7))*SIN(RADIANS(Existing_Stores!$C$7-Candidates!$C$10)/2)^2))</f>
        <v>11.425381613198</v>
      </c>
      <c r="E10" s="11" t="n">
        <f aca="false">2*6371*ASIN(SQRT(SIN(RADIANS(Existing_Stores!$B$8-Candidates!$B$10)/2)^2+COS(RADIANS(Candidates!$B$10))*COS(RADIANS(Existing_Stores!$B$8))*SIN(RADIANS(Existing_Stores!$C$8-Candidates!$C$10)/2)^2))</f>
        <v>20.0873702820288</v>
      </c>
      <c r="F10" s="11" t="n">
        <f aca="false">2*6371*ASIN(SQRT(SIN(RADIANS(Existing_Stores!$B$9-Candidates!$B$10)/2)^2+COS(RADIANS(Candidates!$B$10))*COS(RADIANS(Existing_Stores!$B$9))*SIN(RADIANS(Existing_Stores!$C$9-Candidates!$C$10)/2)^2))</f>
        <v>7.51258217306637</v>
      </c>
      <c r="G10" s="11" t="n">
        <f aca="false">2*6371*ASIN(SQRT(SIN(RADIANS(Existing_Stores!$B$10-Candidates!$B$10)/2)^2+COS(RADIANS(Candidates!$B$10))*COS(RADIANS(Existing_Stores!$B$10))*SIN(RADIANS(Existing_Stores!$C$10-Candidates!$C$10)/2)^2))</f>
        <v>19.896675636904</v>
      </c>
      <c r="H10" s="15" t="str">
        <f aca="false">INDEX($B$4:$G$4,MATCH(MIN(B10:G10),B10:G10,0))</f>
        <v>HSR Layout</v>
      </c>
      <c r="I10" s="11" t="n">
        <f aca="false">MIN(B10:G10)</f>
        <v>7.51258217306637</v>
      </c>
    </row>
    <row r="11" customFormat="false" ht="15" hidden="false" customHeight="false" outlineLevel="0" collapsed="false">
      <c r="A11" s="34" t="str">
        <f aca="false">Candidates!A11</f>
        <v>Kanakapura Road</v>
      </c>
      <c r="B11" s="11" t="n">
        <f aca="false">2*6371*ASIN(SQRT(SIN(RADIANS(Existing_Stores!$B$5-Candidates!$B$11)/2)^2+COS(RADIANS(Candidates!$B$11))*COS(RADIANS(Existing_Stores!$B$5))*SIN(RADIANS(Existing_Stores!$C$5-Candidates!$C$11)/2)^2))</f>
        <v>8.5682826014822</v>
      </c>
      <c r="C11" s="11" t="n">
        <f aca="false">2*6371*ASIN(SQRT(SIN(RADIANS(Existing_Stores!$B$6-Candidates!$B$11)/2)^2+COS(RADIANS(Candidates!$B$11))*COS(RADIANS(Existing_Stores!$B$6))*SIN(RADIANS(Existing_Stores!$C$6-Candidates!$C$11)/2)^2))</f>
        <v>13.2572480589415</v>
      </c>
      <c r="D11" s="11" t="n">
        <f aca="false">2*6371*ASIN(SQRT(SIN(RADIANS(Existing_Stores!$B$7-Candidates!$B$11)/2)^2+COS(RADIANS(Candidates!$B$11))*COS(RADIANS(Existing_Stores!$B$7))*SIN(RADIANS(Existing_Stores!$C$7-Candidates!$C$11)/2)^2))</f>
        <v>5.44299307010142</v>
      </c>
      <c r="E11" s="11" t="n">
        <f aca="false">2*6371*ASIN(SQRT(SIN(RADIANS(Existing_Stores!$B$8-Candidates!$B$11)/2)^2+COS(RADIANS(Candidates!$B$11))*COS(RADIANS(Existing_Stores!$B$8))*SIN(RADIANS(Existing_Stores!$C$8-Candidates!$C$11)/2)^2))</f>
        <v>13.1311891258551</v>
      </c>
      <c r="F11" s="11" t="n">
        <f aca="false">2*6371*ASIN(SQRT(SIN(RADIANS(Existing_Stores!$B$9-Candidates!$B$11)/2)^2+COS(RADIANS(Candidates!$B$11))*COS(RADIANS(Existing_Stores!$B$9))*SIN(RADIANS(Existing_Stores!$C$9-Candidates!$C$11)/2)^2))</f>
        <v>9.49070969813257</v>
      </c>
      <c r="G11" s="11" t="n">
        <f aca="false">2*6371*ASIN(SQRT(SIN(RADIANS(Existing_Stores!$B$10-Candidates!$B$11)/2)^2+COS(RADIANS(Candidates!$B$11))*COS(RADIANS(Existing_Stores!$B$10))*SIN(RADIANS(Existing_Stores!$C$10-Candidates!$C$11)/2)^2))</f>
        <v>11.8204628540441</v>
      </c>
      <c r="H11" s="15" t="str">
        <f aca="false">INDEX($B$4:$G$4,MATCH(MIN(B11:G11),B11:G11,0))</f>
        <v>Jayanagar</v>
      </c>
      <c r="I11" s="11" t="n">
        <f aca="false">MIN(B11:G11)</f>
        <v>5.44299307010142</v>
      </c>
    </row>
    <row r="12" customFormat="false" ht="15" hidden="false" customHeight="false" outlineLevel="0" collapsed="false">
      <c r="A12" s="34" t="str">
        <f aca="false">Candidates!A12</f>
        <v>Yelahanka</v>
      </c>
      <c r="B12" s="11" t="n">
        <f aca="false">2*6371*ASIN(SQRT(SIN(RADIANS(Existing_Stores!$B$5-Candidates!$B$12)/2)^2+COS(RADIANS(Candidates!$B$12))*COS(RADIANS(Existing_Stores!$B$5))*SIN(RADIANS(Existing_Stores!$C$5-Candidates!$C$12)/2)^2))</f>
        <v>18.6546312409779</v>
      </c>
      <c r="C12" s="11" t="n">
        <f aca="false">2*6371*ASIN(SQRT(SIN(RADIANS(Existing_Stores!$B$6-Candidates!$B$12)/2)^2+COS(RADIANS(Candidates!$B$12))*COS(RADIANS(Existing_Stores!$B$6))*SIN(RADIANS(Existing_Stores!$C$6-Candidates!$C$12)/2)^2))</f>
        <v>14.4282573274909</v>
      </c>
      <c r="D12" s="11" t="n">
        <f aca="false">2*6371*ASIN(SQRT(SIN(RADIANS(Existing_Stores!$B$7-Candidates!$B$12)/2)^2+COS(RADIANS(Candidates!$B$12))*COS(RADIANS(Existing_Stores!$B$7))*SIN(RADIANS(Existing_Stores!$C$7-Candidates!$C$12)/2)^2))</f>
        <v>19.5388259596949</v>
      </c>
      <c r="E12" s="11" t="n">
        <f aca="false">2*6371*ASIN(SQRT(SIN(RADIANS(Existing_Stores!$B$8-Candidates!$B$12)/2)^2+COS(RADIANS(Candidates!$B$12))*COS(RADIANS(Existing_Stores!$B$8))*SIN(RADIANS(Existing_Stores!$C$8-Candidates!$C$12)/2)^2))</f>
        <v>11.1528540030472</v>
      </c>
      <c r="F12" s="11" t="n">
        <f aca="false">2*6371*ASIN(SQRT(SIN(RADIANS(Existing_Stores!$B$9-Candidates!$B$12)/2)^2+COS(RADIANS(Candidates!$B$12))*COS(RADIANS(Existing_Stores!$B$9))*SIN(RADIANS(Existing_Stores!$C$9-Candidates!$C$12)/2)^2))</f>
        <v>21.7435870420689</v>
      </c>
      <c r="G12" s="11" t="n">
        <f aca="false">2*6371*ASIN(SQRT(SIN(RADIANS(Existing_Stores!$B$10-Candidates!$B$12)/2)^2+COS(RADIANS(Candidates!$B$12))*COS(RADIANS(Existing_Stores!$B$10))*SIN(RADIANS(Existing_Stores!$C$10-Candidates!$C$12)/2)^2))</f>
        <v>12.9592649882355</v>
      </c>
      <c r="H12" s="15" t="str">
        <f aca="false">INDEX($B$4:$G$4,MATCH(MIN(B12:G12),B12:G12,0))</f>
        <v>Malleshwaram</v>
      </c>
      <c r="I12" s="11" t="n">
        <f aca="false">MIN(B12:G12)</f>
        <v>11.1528540030472</v>
      </c>
    </row>
    <row r="15" customFormat="false" ht="45" hidden="false" customHeight="true" outlineLevel="0" collapsed="false">
      <c r="A15" s="10" t="s">
        <v>205</v>
      </c>
      <c r="B15" s="10" t="s">
        <v>176</v>
      </c>
      <c r="C15" s="10" t="s">
        <v>177</v>
      </c>
      <c r="D15" s="10" t="s">
        <v>178</v>
      </c>
      <c r="E15" s="10" t="s">
        <v>179</v>
      </c>
      <c r="F15" s="10" t="s">
        <v>180</v>
      </c>
      <c r="G15" s="10" t="s">
        <v>181</v>
      </c>
      <c r="H15" s="10" t="s">
        <v>182</v>
      </c>
      <c r="I15" s="10" t="s">
        <v>183</v>
      </c>
    </row>
    <row r="16" customFormat="false" ht="15" hidden="false" customHeight="false" outlineLevel="0" collapsed="false">
      <c r="A16" s="34" t="str">
        <f aca="false">Candidates!A5</f>
        <v>Whitefield</v>
      </c>
      <c r="B16" s="11" t="n">
        <f aca="false">2*6371*ASIN(SQRT(SIN(RADIANS(Candidates!$B$5-Candidates!$B$5)/2)^2+COS(RADIANS(Candidates!$B$5))*COS(RADIANS(Candidates!$B$5))*SIN(RADIANS(Candidates!$C$5-Candidates!$C$5)/2)^2))</f>
        <v>0</v>
      </c>
      <c r="C16" s="11" t="n">
        <f aca="false">2*6371*ASIN(SQRT(SIN(RADIANS(Candidates!$B$6-Candidates!$B$5)/2)^2+COS(RADIANS(Candidates!$B$5))*COS(RADIANS(Candidates!$B$6))*SIN(RADIANS(Candidates!$C$6-Candidates!$C$5)/2)^2))</f>
        <v>5.48957007636542</v>
      </c>
      <c r="D16" s="11" t="n">
        <f aca="false">2*6371*ASIN(SQRT(SIN(RADIANS(Candidates!$B$7-Candidates!$B$5)/2)^2+COS(RADIANS(Candidates!$B$5))*COS(RADIANS(Candidates!$B$7))*SIN(RADIANS(Candidates!$C$7-Candidates!$C$5)/2)^2))</f>
        <v>9.36380168580716</v>
      </c>
      <c r="E16" s="11" t="n">
        <f aca="false">2*6371*ASIN(SQRT(SIN(RADIANS(Candidates!$B$8-Candidates!$B$5)/2)^2+COS(RADIANS(Candidates!$B$5))*COS(RADIANS(Candidates!$B$8))*SIN(RADIANS(Candidates!$C$8-Candidates!$C$5)/2)^2))</f>
        <v>8.90562695586524</v>
      </c>
      <c r="F16" s="11" t="n">
        <f aca="false">2*6371*ASIN(SQRT(SIN(RADIANS(Candidates!$B$9-Candidates!$B$5)/2)^2+COS(RADIANS(Candidates!$B$5))*COS(RADIANS(Candidates!$B$9))*SIN(RADIANS(Candidates!$C$9-Candidates!$C$5)/2)^2))</f>
        <v>18.1285007111147</v>
      </c>
      <c r="G16" s="11" t="n">
        <f aca="false">2*6371*ASIN(SQRT(SIN(RADIANS(Candidates!$B$10-Candidates!$B$5)/2)^2+COS(RADIANS(Candidates!$B$5))*COS(RADIANS(Candidates!$B$10))*SIN(RADIANS(Candidates!$C$10-Candidates!$C$5)/2)^2))</f>
        <v>16.931895116084</v>
      </c>
      <c r="H16" s="11" t="n">
        <f aca="false">2*6371*ASIN(SQRT(SIN(RADIANS(Candidates!$B$11-Candidates!$B$5)/2)^2+COS(RADIANS(Candidates!$B$5))*COS(RADIANS(Candidates!$B$11))*SIN(RADIANS(Candidates!$C$11-Candidates!$C$5)/2)^2))</f>
        <v>22.2262106476887</v>
      </c>
      <c r="I16" s="11" t="n">
        <f aca="false">2*6371*ASIN(SQRT(SIN(RADIANS(Candidates!$B$12-Candidates!$B$5)/2)^2+COS(RADIANS(Candidates!$B$5))*COS(RADIANS(Candidates!$B$12))*SIN(RADIANS(Candidates!$C$12-Candidates!$C$5)/2)^2))</f>
        <v>22.1154045283632</v>
      </c>
    </row>
    <row r="17" customFormat="false" ht="15" hidden="false" customHeight="false" outlineLevel="0" collapsed="false">
      <c r="A17" s="34" t="str">
        <f aca="false">Candidates!A6</f>
        <v>Marathahalli</v>
      </c>
      <c r="B17" s="11" t="n">
        <f aca="false">2*6371*ASIN(SQRT(SIN(RADIANS(Candidates!$B$5-Candidates!$B$6)/2)^2+COS(RADIANS(Candidates!$B$6))*COS(RADIANS(Candidates!$B$5))*SIN(RADIANS(Candidates!$C$5-Candidates!$C$6)/2)^2))</f>
        <v>5.48957007636542</v>
      </c>
      <c r="C17" s="11" t="n">
        <f aca="false">2*6371*ASIN(SQRT(SIN(RADIANS(Candidates!$B$6-Candidates!$B$6)/2)^2+COS(RADIANS(Candidates!$B$6))*COS(RADIANS(Candidates!$B$6))*SIN(RADIANS(Candidates!$C$6-Candidates!$C$6)/2)^2))</f>
        <v>0</v>
      </c>
      <c r="D17" s="11" t="n">
        <f aca="false">2*6371*ASIN(SQRT(SIN(RADIANS(Candidates!$B$7-Candidates!$B$6)/2)^2+COS(RADIANS(Candidates!$B$6))*COS(RADIANS(Candidates!$B$7))*SIN(RADIANS(Candidates!$C$7-Candidates!$C$6)/2)^2))</f>
        <v>4.36887511988875</v>
      </c>
      <c r="E17" s="11" t="n">
        <f aca="false">2*6371*ASIN(SQRT(SIN(RADIANS(Candidates!$B$8-Candidates!$B$6)/2)^2+COS(RADIANS(Candidates!$B$6))*COS(RADIANS(Candidates!$B$8))*SIN(RADIANS(Candidates!$C$8-Candidates!$C$6)/2)^2))</f>
        <v>5.55329231418506</v>
      </c>
      <c r="F17" s="11" t="n">
        <f aca="false">2*6371*ASIN(SQRT(SIN(RADIANS(Candidates!$B$9-Candidates!$B$6)/2)^2+COS(RADIANS(Candidates!$B$6))*COS(RADIANS(Candidates!$B$9))*SIN(RADIANS(Candidates!$C$9-Candidates!$C$6)/2)^2))</f>
        <v>14.2892817326244</v>
      </c>
      <c r="G17" s="11" t="n">
        <f aca="false">2*6371*ASIN(SQRT(SIN(RADIANS(Candidates!$B$10-Candidates!$B$6)/2)^2+COS(RADIANS(Candidates!$B$6))*COS(RADIANS(Candidates!$B$10))*SIN(RADIANS(Candidates!$C$10-Candidates!$C$6)/2)^2))</f>
        <v>13.1878834005575</v>
      </c>
      <c r="H17" s="11" t="n">
        <f aca="false">2*6371*ASIN(SQRT(SIN(RADIANS(Candidates!$B$11-Candidates!$B$6)/2)^2+COS(RADIANS(Candidates!$B$6))*COS(RADIANS(Candidates!$B$11))*SIN(RADIANS(Candidates!$C$11-Candidates!$C$6)/2)^2))</f>
        <v>16.8416218567755</v>
      </c>
      <c r="I17" s="11" t="n">
        <f aca="false">2*6371*ASIN(SQRT(SIN(RADIANS(Candidates!$B$12-Candidates!$B$6)/2)^2+COS(RADIANS(Candidates!$B$6))*COS(RADIANS(Candidates!$B$12))*SIN(RADIANS(Candidates!$C$12-Candidates!$C$6)/2)^2))</f>
        <v>19.6104718056911</v>
      </c>
    </row>
    <row r="18" customFormat="false" ht="15" hidden="false" customHeight="false" outlineLevel="0" collapsed="false">
      <c r="A18" s="34" t="str">
        <f aca="false">Candidates!A7</f>
        <v>Bellandur</v>
      </c>
      <c r="B18" s="11" t="n">
        <f aca="false">2*6371*ASIN(SQRT(SIN(RADIANS(Candidates!$B$5-Candidates!$B$7)/2)^2+COS(RADIANS(Candidates!$B$7))*COS(RADIANS(Candidates!$B$5))*SIN(RADIANS(Candidates!$C$5-Candidates!$C$7)/2)^2))</f>
        <v>9.36380168580716</v>
      </c>
      <c r="C18" s="11" t="n">
        <f aca="false">2*6371*ASIN(SQRT(SIN(RADIANS(Candidates!$B$6-Candidates!$B$7)/2)^2+COS(RADIANS(Candidates!$B$7))*COS(RADIANS(Candidates!$B$6))*SIN(RADIANS(Candidates!$C$6-Candidates!$C$7)/2)^2))</f>
        <v>4.36887511988875</v>
      </c>
      <c r="D18" s="11" t="n">
        <f aca="false">2*6371*ASIN(SQRT(SIN(RADIANS(Candidates!$B$7-Candidates!$B$7)/2)^2+COS(RADIANS(Candidates!$B$7))*COS(RADIANS(Candidates!$B$7))*SIN(RADIANS(Candidates!$C$7-Candidates!$C$7)/2)^2))</f>
        <v>0</v>
      </c>
      <c r="E18" s="11" t="n">
        <f aca="false">2*6371*ASIN(SQRT(SIN(RADIANS(Candidates!$B$8-Candidates!$B$7)/2)^2+COS(RADIANS(Candidates!$B$7))*COS(RADIANS(Candidates!$B$8))*SIN(RADIANS(Candidates!$C$8-Candidates!$C$7)/2)^2))</f>
        <v>3.25112679427751</v>
      </c>
      <c r="F18" s="11" t="n">
        <f aca="false">2*6371*ASIN(SQRT(SIN(RADIANS(Candidates!$B$9-Candidates!$B$7)/2)^2+COS(RADIANS(Candidates!$B$7))*COS(RADIANS(Candidates!$B$9))*SIN(RADIANS(Candidates!$C$9-Candidates!$C$7)/2)^2))</f>
        <v>14.9234112465116</v>
      </c>
      <c r="G18" s="11" t="n">
        <f aca="false">2*6371*ASIN(SQRT(SIN(RADIANS(Candidates!$B$10-Candidates!$B$7)/2)^2+COS(RADIANS(Candidates!$B$7))*COS(RADIANS(Candidates!$B$10))*SIN(RADIANS(Candidates!$C$10-Candidates!$C$7)/2)^2))</f>
        <v>9.15040931294091</v>
      </c>
      <c r="H18" s="11" t="n">
        <f aca="false">2*6371*ASIN(SQRT(SIN(RADIANS(Candidates!$B$11-Candidates!$B$7)/2)^2+COS(RADIANS(Candidates!$B$7))*COS(RADIANS(Candidates!$B$11))*SIN(RADIANS(Candidates!$C$11-Candidates!$C$7)/2)^2))</f>
        <v>12.9641119977296</v>
      </c>
      <c r="I18" s="11" t="n">
        <f aca="false">2*6371*ASIN(SQRT(SIN(RADIANS(Candidates!$B$12-Candidates!$B$7)/2)^2+COS(RADIANS(Candidates!$B$7))*COS(RADIANS(Candidates!$B$12))*SIN(RADIANS(Candidates!$C$12-Candidates!$C$7)/2)^2))</f>
        <v>21.2671430104153</v>
      </c>
    </row>
    <row r="19" customFormat="false" ht="15" hidden="false" customHeight="false" outlineLevel="0" collapsed="false">
      <c r="A19" s="34" t="str">
        <f aca="false">Candidates!A8</f>
        <v>Sarjapur Road</v>
      </c>
      <c r="B19" s="11" t="n">
        <f aca="false">2*6371*ASIN(SQRT(SIN(RADIANS(Candidates!$B$5-Candidates!$B$8)/2)^2+COS(RADIANS(Candidates!$B$8))*COS(RADIANS(Candidates!$B$5))*SIN(RADIANS(Candidates!$C$5-Candidates!$C$8)/2)^2))</f>
        <v>8.90562695586524</v>
      </c>
      <c r="C19" s="11" t="n">
        <f aca="false">2*6371*ASIN(SQRT(SIN(RADIANS(Candidates!$B$6-Candidates!$B$8)/2)^2+COS(RADIANS(Candidates!$B$8))*COS(RADIANS(Candidates!$B$6))*SIN(RADIANS(Candidates!$C$6-Candidates!$C$8)/2)^2))</f>
        <v>5.55329231418506</v>
      </c>
      <c r="D19" s="11" t="n">
        <f aca="false">2*6371*ASIN(SQRT(SIN(RADIANS(Candidates!$B$7-Candidates!$B$8)/2)^2+COS(RADIANS(Candidates!$B$8))*COS(RADIANS(Candidates!$B$7))*SIN(RADIANS(Candidates!$C$7-Candidates!$C$8)/2)^2))</f>
        <v>3.25112679427751</v>
      </c>
      <c r="E19" s="11" t="n">
        <f aca="false">2*6371*ASIN(SQRT(SIN(RADIANS(Candidates!$B$8-Candidates!$B$8)/2)^2+COS(RADIANS(Candidates!$B$8))*COS(RADIANS(Candidates!$B$8))*SIN(RADIANS(Candidates!$C$8-Candidates!$C$8)/2)^2))</f>
        <v>0</v>
      </c>
      <c r="F19" s="11" t="n">
        <f aca="false">2*6371*ASIN(SQRT(SIN(RADIANS(Candidates!$B$9-Candidates!$B$8)/2)^2+COS(RADIANS(Candidates!$B$8))*COS(RADIANS(Candidates!$B$9))*SIN(RADIANS(Candidates!$C$9-Candidates!$C$8)/2)^2))</f>
        <v>18.090712642481</v>
      </c>
      <c r="G19" s="11" t="n">
        <f aca="false">2*6371*ASIN(SQRT(SIN(RADIANS(Candidates!$B$10-Candidates!$B$8)/2)^2+COS(RADIANS(Candidates!$B$8))*COS(RADIANS(Candidates!$B$10))*SIN(RADIANS(Candidates!$C$10-Candidates!$C$8)/2)^2))</f>
        <v>8.0567771444685</v>
      </c>
      <c r="H19" s="11" t="n">
        <f aca="false">2*6371*ASIN(SQRT(SIN(RADIANS(Candidates!$B$11-Candidates!$B$8)/2)^2+COS(RADIANS(Candidates!$B$8))*COS(RADIANS(Candidates!$B$11))*SIN(RADIANS(Candidates!$C$11-Candidates!$C$8)/2)^2))</f>
        <v>14.8248845771609</v>
      </c>
      <c r="I19" s="11" t="n">
        <f aca="false">2*6371*ASIN(SQRT(SIN(RADIANS(Candidates!$B$12-Candidates!$B$8)/2)^2+COS(RADIANS(Candidates!$B$8))*COS(RADIANS(Candidates!$B$12))*SIN(RADIANS(Candidates!$C$12-Candidates!$C$8)/2)^2))</f>
        <v>24.2427723266723</v>
      </c>
    </row>
    <row r="20" customFormat="false" ht="15" hidden="false" customHeight="false" outlineLevel="0" collapsed="false">
      <c r="A20" s="34" t="str">
        <f aca="false">Candidates!A9</f>
        <v>Hebbal</v>
      </c>
      <c r="B20" s="11" t="n">
        <f aca="false">2*6371*ASIN(SQRT(SIN(RADIANS(Candidates!$B$5-Candidates!$B$9)/2)^2+COS(RADIANS(Candidates!$B$9))*COS(RADIANS(Candidates!$B$5))*SIN(RADIANS(Candidates!$C$5-Candidates!$C$9)/2)^2))</f>
        <v>18.1285007111147</v>
      </c>
      <c r="C20" s="11" t="n">
        <f aca="false">2*6371*ASIN(SQRT(SIN(RADIANS(Candidates!$B$6-Candidates!$B$9)/2)^2+COS(RADIANS(Candidates!$B$9))*COS(RADIANS(Candidates!$B$6))*SIN(RADIANS(Candidates!$C$6-Candidates!$C$9)/2)^2))</f>
        <v>14.2892817326244</v>
      </c>
      <c r="D20" s="11" t="n">
        <f aca="false">2*6371*ASIN(SQRT(SIN(RADIANS(Candidates!$B$7-Candidates!$B$9)/2)^2+COS(RADIANS(Candidates!$B$9))*COS(RADIANS(Candidates!$B$7))*SIN(RADIANS(Candidates!$C$7-Candidates!$C$9)/2)^2))</f>
        <v>14.9234112465116</v>
      </c>
      <c r="E20" s="11" t="n">
        <f aca="false">2*6371*ASIN(SQRT(SIN(RADIANS(Candidates!$B$8-Candidates!$B$9)/2)^2+COS(RADIANS(Candidates!$B$9))*COS(RADIANS(Candidates!$B$8))*SIN(RADIANS(Candidates!$C$8-Candidates!$C$9)/2)^2))</f>
        <v>18.090712642481</v>
      </c>
      <c r="F20" s="11" t="n">
        <f aca="false">2*6371*ASIN(SQRT(SIN(RADIANS(Candidates!$B$9-Candidates!$B$9)/2)^2+COS(RADIANS(Candidates!$B$9))*COS(RADIANS(Candidates!$B$9))*SIN(RADIANS(Candidates!$C$9-Candidates!$C$9)/2)^2))</f>
        <v>0</v>
      </c>
      <c r="G20" s="11" t="n">
        <f aca="false">2*6371*ASIN(SQRT(SIN(RADIANS(Candidates!$B$10-Candidates!$B$9)/2)^2+COS(RADIANS(Candidates!$B$9))*COS(RADIANS(Candidates!$B$10))*SIN(RADIANS(Candidates!$C$10-Candidates!$C$9)/2)^2))</f>
        <v>22.2729544383547</v>
      </c>
      <c r="H20" s="11" t="n">
        <f aca="false">2*6371*ASIN(SQRT(SIN(RADIANS(Candidates!$B$11-Candidates!$B$9)/2)^2+COS(RADIANS(Candidates!$B$9))*COS(RADIANS(Candidates!$B$11))*SIN(RADIANS(Candidates!$C$11-Candidates!$C$9)/2)^2))</f>
        <v>17.0800111529967</v>
      </c>
      <c r="I20" s="11" t="n">
        <f aca="false">2*6371*ASIN(SQRT(SIN(RADIANS(Candidates!$B$12-Candidates!$B$9)/2)^2+COS(RADIANS(Candidates!$B$9))*COS(RADIANS(Candidates!$B$12))*SIN(RADIANS(Candidates!$C$12-Candidates!$C$9)/2)^2))</f>
        <v>7.21694903222834</v>
      </c>
    </row>
    <row r="21" customFormat="false" ht="15" hidden="false" customHeight="false" outlineLevel="0" collapsed="false">
      <c r="A21" s="34" t="str">
        <f aca="false">Candidates!A10</f>
        <v>Electronic City</v>
      </c>
      <c r="B21" s="11" t="n">
        <f aca="false">2*6371*ASIN(SQRT(SIN(RADIANS(Candidates!$B$5-Candidates!$B$10)/2)^2+COS(RADIANS(Candidates!$B$10))*COS(RADIANS(Candidates!$B$5))*SIN(RADIANS(Candidates!$C$5-Candidates!$C$10)/2)^2))</f>
        <v>16.931895116084</v>
      </c>
      <c r="C21" s="11" t="n">
        <f aca="false">2*6371*ASIN(SQRT(SIN(RADIANS(Candidates!$B$6-Candidates!$B$10)/2)^2+COS(RADIANS(Candidates!$B$10))*COS(RADIANS(Candidates!$B$6))*SIN(RADIANS(Candidates!$C$6-Candidates!$C$10)/2)^2))</f>
        <v>13.1878834005575</v>
      </c>
      <c r="D21" s="11" t="n">
        <f aca="false">2*6371*ASIN(SQRT(SIN(RADIANS(Candidates!$B$7-Candidates!$B$10)/2)^2+COS(RADIANS(Candidates!$B$10))*COS(RADIANS(Candidates!$B$7))*SIN(RADIANS(Candidates!$C$7-Candidates!$C$10)/2)^2))</f>
        <v>9.15040931294091</v>
      </c>
      <c r="E21" s="11" t="n">
        <f aca="false">2*6371*ASIN(SQRT(SIN(RADIANS(Candidates!$B$8-Candidates!$B$10)/2)^2+COS(RADIANS(Candidates!$B$10))*COS(RADIANS(Candidates!$B$8))*SIN(RADIANS(Candidates!$C$8-Candidates!$C$10)/2)^2))</f>
        <v>8.0567771444685</v>
      </c>
      <c r="F21" s="11" t="n">
        <f aca="false">2*6371*ASIN(SQRT(SIN(RADIANS(Candidates!$B$9-Candidates!$B$10)/2)^2+COS(RADIANS(Candidates!$B$10))*COS(RADIANS(Candidates!$B$9))*SIN(RADIANS(Candidates!$C$9-Candidates!$C$10)/2)^2))</f>
        <v>22.2729544383547</v>
      </c>
      <c r="G21" s="11" t="n">
        <f aca="false">2*6371*ASIN(SQRT(SIN(RADIANS(Candidates!$B$10-Candidates!$B$10)/2)^2+COS(RADIANS(Candidates!$B$10))*COS(RADIANS(Candidates!$B$10))*SIN(RADIANS(Candidates!$C$10-Candidates!$C$10)/2)^2))</f>
        <v>0</v>
      </c>
      <c r="H21" s="11" t="n">
        <f aca="false">2*6371*ASIN(SQRT(SIN(RADIANS(Candidates!$B$11-Candidates!$B$10)/2)^2+COS(RADIANS(Candidates!$B$10))*COS(RADIANS(Candidates!$B$11))*SIN(RADIANS(Candidates!$C$11-Candidates!$C$10)/2)^2))</f>
        <v>11.3548379386532</v>
      </c>
      <c r="I21" s="11" t="n">
        <f aca="false">2*6371*ASIN(SQRT(SIN(RADIANS(Candidates!$B$12-Candidates!$B$10)/2)^2+COS(RADIANS(Candidates!$B$10))*COS(RADIANS(Candidates!$B$12))*SIN(RADIANS(Candidates!$C$12-Candidates!$C$10)/2)^2))</f>
        <v>29.2418713657578</v>
      </c>
    </row>
    <row r="22" customFormat="false" ht="15" hidden="false" customHeight="false" outlineLevel="0" collapsed="false">
      <c r="A22" s="34" t="str">
        <f aca="false">Candidates!A11</f>
        <v>Kanakapura Road</v>
      </c>
      <c r="B22" s="11" t="n">
        <f aca="false">2*6371*ASIN(SQRT(SIN(RADIANS(Candidates!$B$5-Candidates!$B$11)/2)^2+COS(RADIANS(Candidates!$B$11))*COS(RADIANS(Candidates!$B$5))*SIN(RADIANS(Candidates!$C$5-Candidates!$C$11)/2)^2))</f>
        <v>22.2262106476887</v>
      </c>
      <c r="C22" s="11" t="n">
        <f aca="false">2*6371*ASIN(SQRT(SIN(RADIANS(Candidates!$B$6-Candidates!$B$11)/2)^2+COS(RADIANS(Candidates!$B$11))*COS(RADIANS(Candidates!$B$6))*SIN(RADIANS(Candidates!$C$6-Candidates!$C$11)/2)^2))</f>
        <v>16.8416218567755</v>
      </c>
      <c r="D22" s="11" t="n">
        <f aca="false">2*6371*ASIN(SQRT(SIN(RADIANS(Candidates!$B$7-Candidates!$B$11)/2)^2+COS(RADIANS(Candidates!$B$11))*COS(RADIANS(Candidates!$B$7))*SIN(RADIANS(Candidates!$C$7-Candidates!$C$11)/2)^2))</f>
        <v>12.9641119977296</v>
      </c>
      <c r="E22" s="11" t="n">
        <f aca="false">2*6371*ASIN(SQRT(SIN(RADIANS(Candidates!$B$8-Candidates!$B$11)/2)^2+COS(RADIANS(Candidates!$B$11))*COS(RADIANS(Candidates!$B$8))*SIN(RADIANS(Candidates!$C$8-Candidates!$C$11)/2)^2))</f>
        <v>14.8248845771609</v>
      </c>
      <c r="F22" s="11" t="n">
        <f aca="false">2*6371*ASIN(SQRT(SIN(RADIANS(Candidates!$B$9-Candidates!$B$11)/2)^2+COS(RADIANS(Candidates!$B$11))*COS(RADIANS(Candidates!$B$9))*SIN(RADIANS(Candidates!$C$9-Candidates!$C$11)/2)^2))</f>
        <v>17.0800111529967</v>
      </c>
      <c r="G22" s="11" t="n">
        <f aca="false">2*6371*ASIN(SQRT(SIN(RADIANS(Candidates!$B$10-Candidates!$B$11)/2)^2+COS(RADIANS(Candidates!$B$11))*COS(RADIANS(Candidates!$B$10))*SIN(RADIANS(Candidates!$C$10-Candidates!$C$11)/2)^2))</f>
        <v>11.3548379386532</v>
      </c>
      <c r="H22" s="11" t="n">
        <f aca="false">2*6371*ASIN(SQRT(SIN(RADIANS(Candidates!$B$11-Candidates!$B$11)/2)^2+COS(RADIANS(Candidates!$B$11))*COS(RADIANS(Candidates!$B$11))*SIN(RADIANS(Candidates!$C$11-Candidates!$C$11)/2)^2))</f>
        <v>0</v>
      </c>
      <c r="I22" s="11" t="n">
        <f aca="false">2*6371*ASIN(SQRT(SIN(RADIANS(Candidates!$B$12-Candidates!$B$11)/2)^2+COS(RADIANS(Candidates!$B$11))*COS(RADIANS(Candidates!$B$12))*SIN(RADIANS(Candidates!$C$12-Candidates!$C$11)/2)^2))</f>
        <v>24.1727028607635</v>
      </c>
    </row>
    <row r="23" customFormat="false" ht="15" hidden="false" customHeight="false" outlineLevel="0" collapsed="false">
      <c r="A23" s="34" t="str">
        <f aca="false">Candidates!A12</f>
        <v>Yelahanka</v>
      </c>
      <c r="B23" s="11" t="n">
        <f aca="false">2*6371*ASIN(SQRT(SIN(RADIANS(Candidates!$B$5-Candidates!$B$12)/2)^2+COS(RADIANS(Candidates!$B$12))*COS(RADIANS(Candidates!$B$5))*SIN(RADIANS(Candidates!$C$5-Candidates!$C$12)/2)^2))</f>
        <v>22.1154045283632</v>
      </c>
      <c r="C23" s="11" t="n">
        <f aca="false">2*6371*ASIN(SQRT(SIN(RADIANS(Candidates!$B$6-Candidates!$B$12)/2)^2+COS(RADIANS(Candidates!$B$12))*COS(RADIANS(Candidates!$B$6))*SIN(RADIANS(Candidates!$C$6-Candidates!$C$12)/2)^2))</f>
        <v>19.6104718056911</v>
      </c>
      <c r="D23" s="11" t="n">
        <f aca="false">2*6371*ASIN(SQRT(SIN(RADIANS(Candidates!$B$7-Candidates!$B$12)/2)^2+COS(RADIANS(Candidates!$B$12))*COS(RADIANS(Candidates!$B$7))*SIN(RADIANS(Candidates!$C$7-Candidates!$C$12)/2)^2))</f>
        <v>21.2671430104153</v>
      </c>
      <c r="E23" s="11" t="n">
        <f aca="false">2*6371*ASIN(SQRT(SIN(RADIANS(Candidates!$B$8-Candidates!$B$12)/2)^2+COS(RADIANS(Candidates!$B$12))*COS(RADIANS(Candidates!$B$8))*SIN(RADIANS(Candidates!$C$8-Candidates!$C$12)/2)^2))</f>
        <v>24.2427723266723</v>
      </c>
      <c r="F23" s="11" t="n">
        <f aca="false">2*6371*ASIN(SQRT(SIN(RADIANS(Candidates!$B$9-Candidates!$B$12)/2)^2+COS(RADIANS(Candidates!$B$12))*COS(RADIANS(Candidates!$B$9))*SIN(RADIANS(Candidates!$C$9-Candidates!$C$12)/2)^2))</f>
        <v>7.21694903222834</v>
      </c>
      <c r="G23" s="11" t="n">
        <f aca="false">2*6371*ASIN(SQRT(SIN(RADIANS(Candidates!$B$10-Candidates!$B$12)/2)^2+COS(RADIANS(Candidates!$B$12))*COS(RADIANS(Candidates!$B$10))*SIN(RADIANS(Candidates!$C$10-Candidates!$C$12)/2)^2))</f>
        <v>29.2418713657578</v>
      </c>
      <c r="H23" s="11" t="n">
        <f aca="false">2*6371*ASIN(SQRT(SIN(RADIANS(Candidates!$B$11-Candidates!$B$12)/2)^2+COS(RADIANS(Candidates!$B$12))*COS(RADIANS(Candidates!$B$11))*SIN(RADIANS(Candidates!$C$11-Candidates!$C$12)/2)^2))</f>
        <v>24.1727028607635</v>
      </c>
      <c r="I23" s="11" t="n">
        <f aca="false">2*6371*ASIN(SQRT(SIN(RADIANS(Candidates!$B$12-Candidates!$B$12)/2)^2+COS(RADIANS(Candidates!$B$12))*COS(RADIANS(Candidates!$B$12))*SIN(RADIANS(Candidates!$C$12-Candidates!$C$12)/2)^2))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4"/>
    <col collapsed="false" customWidth="true" hidden="false" outlineLevel="0" max="14" min="14" style="0" width="16"/>
    <col collapsed="false" customWidth="true" hidden="false" outlineLevel="0" max="26" min="15" style="0" width="14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45" hidden="false" customHeight="true" outlineLevel="0" collapsed="false">
      <c r="A4" s="10" t="s">
        <v>24</v>
      </c>
      <c r="B4" s="10" t="s">
        <v>210</v>
      </c>
      <c r="C4" s="10" t="s">
        <v>211</v>
      </c>
      <c r="D4" s="10" t="s">
        <v>212</v>
      </c>
      <c r="E4" s="10" t="s">
        <v>213</v>
      </c>
      <c r="F4" s="10" t="s">
        <v>214</v>
      </c>
      <c r="G4" s="10" t="s">
        <v>215</v>
      </c>
      <c r="H4" s="10" t="s">
        <v>216</v>
      </c>
      <c r="I4" s="10" t="s">
        <v>217</v>
      </c>
      <c r="J4" s="10" t="s">
        <v>218</v>
      </c>
      <c r="K4" s="10" t="s">
        <v>219</v>
      </c>
      <c r="L4" s="10" t="s">
        <v>220</v>
      </c>
      <c r="M4" s="10" t="s">
        <v>221</v>
      </c>
      <c r="N4" s="10" t="s">
        <v>206</v>
      </c>
      <c r="O4" s="10" t="s">
        <v>207</v>
      </c>
      <c r="P4" s="10" t="s">
        <v>222</v>
      </c>
      <c r="Q4" s="10" t="s">
        <v>223</v>
      </c>
      <c r="R4" s="10" t="s">
        <v>224</v>
      </c>
      <c r="S4" s="10" t="s">
        <v>225</v>
      </c>
      <c r="T4" s="10" t="s">
        <v>226</v>
      </c>
      <c r="U4" s="10" t="s">
        <v>227</v>
      </c>
      <c r="V4" s="10" t="s">
        <v>228</v>
      </c>
      <c r="W4" s="10" t="s">
        <v>229</v>
      </c>
      <c r="X4" s="10" t="s">
        <v>29</v>
      </c>
      <c r="Y4" s="10" t="s">
        <v>230</v>
      </c>
      <c r="Z4" s="10" t="s">
        <v>231</v>
      </c>
    </row>
    <row r="5" customFormat="false" ht="15" hidden="false" customHeight="false" outlineLevel="0" collapsed="false">
      <c r="A5" s="34" t="str">
        <f aca="false">Candidates!A5</f>
        <v>Whitefield</v>
      </c>
      <c r="B5" s="35" t="n">
        <f aca="false">Candidates!D5/Assumptions!$B$4</f>
        <v>27631.5789473684</v>
      </c>
      <c r="C5" s="35" t="n">
        <f aca="false">Candidates!E5*Assumptions!$B$5</f>
        <v>17500</v>
      </c>
      <c r="D5" s="31" t="n">
        <f aca="false">MIN(Assumptions!$B$8,Assumptions!$B$6+Assumptions!$B$7*Candidates!E5/1000)</f>
        <v>0.35</v>
      </c>
      <c r="E5" s="7" t="n">
        <f aca="false">Candidates!J5/Assumptions!$B$10</f>
        <v>1.14285714285714</v>
      </c>
      <c r="F5" s="31" t="n">
        <f aca="false">E5/(E5+Candidates!H5+Assumptions!$B$9)</f>
        <v>0.118518518518519</v>
      </c>
      <c r="G5" s="11" t="n">
        <f aca="false">B5*C5*D5*F5*12/10^7</f>
        <v>24.0701754385965</v>
      </c>
      <c r="H5" s="35" t="n">
        <f aca="false">Assumptions!$B$14+Assumptions!$B$15*Candidates!E5/1000</f>
        <v>662.5</v>
      </c>
      <c r="I5" s="35" t="n">
        <f aca="false">(Candidates!F5*Candidates!G5*Assumptions!$B$11+Candidates!F5*(1-Candidates!G5)*Assumptions!$B$12)*Assumptions!$B$13</f>
        <v>990</v>
      </c>
      <c r="J5" s="11" t="n">
        <f aca="false">I5*H5*Assumptions!$B$17/10^7</f>
        <v>23.9394375</v>
      </c>
      <c r="K5" s="14" t="n">
        <f aca="false">ABS(G5-J5)/MAX(G5,J5)</f>
        <v>0.0054315324344024</v>
      </c>
      <c r="L5" s="11" t="n">
        <f aca="false">(Assumptions!$B$16*G5+(1-Assumptions!$B$16)*J5)*Existing_Stores!$C$13</f>
        <v>30.6008447211971</v>
      </c>
      <c r="M5" s="35" t="n">
        <f aca="false">L5*10^7/Assumptions!$B$18</f>
        <v>30600.8447211971</v>
      </c>
      <c r="N5" s="34" t="str">
        <f aca="false">Distances!H5</f>
        <v>Indiranagar</v>
      </c>
      <c r="O5" s="36" t="n">
        <f aca="false">Distances!I5</f>
        <v>11.8710874271583</v>
      </c>
      <c r="P5" s="14" t="n">
        <f aca="false">MAX(0,Assumptions!$B$32*(1-O5/Assumptions!$B$33))</f>
        <v>0</v>
      </c>
      <c r="Q5" s="11" t="n">
        <f aca="false">L5*(1-P5)</f>
        <v>30.6008447211971</v>
      </c>
      <c r="R5" s="7" t="n">
        <f aca="false">Candidates!I5*Assumptions!$B$18*12/10^7</f>
        <v>1.74</v>
      </c>
      <c r="S5" s="31" t="n">
        <f aca="false">R5/L5</f>
        <v>0.0568611754300596</v>
      </c>
      <c r="T5" s="13" t="n">
        <f aca="false">L5*Assumptions!$B$19-R5-(Assumptions!$B$20+Assumptions!$B$21)/10^7-L5*Assumptions!$B$22</f>
        <v>1.45613515539153</v>
      </c>
      <c r="U5" s="7" t="n">
        <f aca="false">L5*P5*(Assumptions!$B$19-Assumptions!$B$22)</f>
        <v>0</v>
      </c>
      <c r="V5" s="13" t="n">
        <f aca="false">T5-U5</f>
        <v>1.45613515539153</v>
      </c>
      <c r="W5" s="7" t="n">
        <f aca="false">(Assumptions!$B$23*Assumptions!$B$18+Assumptions!$B$24*Candidates!I5*Assumptions!$B$18+Assumptions!$B$25)/10^7</f>
        <v>3.87</v>
      </c>
      <c r="X5" s="11" t="n">
        <f aca="false">IF(V5&gt;0,W5/V5,99)</f>
        <v>2.65772032607743</v>
      </c>
      <c r="Y5" s="37" t="n">
        <f aca="false">Cashflows!L5</f>
        <v>2.6849909087771</v>
      </c>
      <c r="Z5" s="5" t="str">
        <f aca="false">IF(AND(X5&lt;=Assumptions!$B$35,Y5&gt;0),"Yes","No")</f>
        <v>Yes</v>
      </c>
    </row>
    <row r="6" customFormat="false" ht="15" hidden="false" customHeight="false" outlineLevel="0" collapsed="false">
      <c r="A6" s="34" t="str">
        <f aca="false">Candidates!A6</f>
        <v>Marathahalli</v>
      </c>
      <c r="B6" s="35" t="n">
        <f aca="false">Candidates!D6/Assumptions!$B$4</f>
        <v>27631.5789473684</v>
      </c>
      <c r="C6" s="35" t="n">
        <f aca="false">Candidates!E6*Assumptions!$B$5</f>
        <v>13300</v>
      </c>
      <c r="D6" s="31" t="n">
        <f aca="false">MIN(Assumptions!$B$8,Assumptions!$B$6+Assumptions!$B$7*Candidates!E6/1000)</f>
        <v>0.29</v>
      </c>
      <c r="E6" s="7" t="n">
        <f aca="false">Candidates!J6/Assumptions!$B$10</f>
        <v>0.857142857142857</v>
      </c>
      <c r="F6" s="31" t="n">
        <f aca="false">E6/(E6+Candidates!H6+Assumptions!$B$9)</f>
        <v>0.0916030534351145</v>
      </c>
      <c r="G6" s="11" t="n">
        <f aca="false">B6*C6*D6*F6*12/10^7</f>
        <v>11.7151145038168</v>
      </c>
      <c r="H6" s="35" t="n">
        <f aca="false">Assumptions!$B$14+Assumptions!$B$15*Candidates!E6/1000</f>
        <v>587.5</v>
      </c>
      <c r="I6" s="35" t="n">
        <f aca="false">(Candidates!F6*Candidates!G6*Assumptions!$B$11+Candidates!F6*(1-Candidates!G6)*Assumptions!$B$12)*Assumptions!$B$13</f>
        <v>1080</v>
      </c>
      <c r="J6" s="11" t="n">
        <f aca="false">I6*H6*Assumptions!$B$17/10^7</f>
        <v>23.15925</v>
      </c>
      <c r="K6" s="14" t="n">
        <f aca="false">ABS(G6-J6)/MAX(G6,J6)</f>
        <v>0.494149659258534</v>
      </c>
      <c r="L6" s="11" t="n">
        <f aca="false">(Assumptions!$B$16*G6+(1-Assumptions!$B$16)*J6)*Existing_Stores!$C$13</f>
        <v>22.228569397063</v>
      </c>
      <c r="M6" s="35" t="n">
        <f aca="false">L6*10^7/Assumptions!$B$18</f>
        <v>22228.569397063</v>
      </c>
      <c r="N6" s="34" t="str">
        <f aca="false">Distances!H6</f>
        <v>Indiranagar</v>
      </c>
      <c r="O6" s="36" t="n">
        <f aca="false">Distances!I6</f>
        <v>6.9576771353932</v>
      </c>
      <c r="P6" s="14" t="n">
        <f aca="false">MAX(0,Assumptions!$B$32*(1-O6/Assumptions!$B$33))</f>
        <v>0.0456016253265477</v>
      </c>
      <c r="Q6" s="11" t="n">
        <f aca="false">L6*(1-P6)</f>
        <v>21.214910503873</v>
      </c>
      <c r="R6" s="7" t="n">
        <f aca="false">Candidates!I6*Assumptions!$B$18*12/10^7</f>
        <v>1.8</v>
      </c>
      <c r="S6" s="31" t="n">
        <f aca="false">R6/L6</f>
        <v>0.0809768711538328</v>
      </c>
      <c r="T6" s="13" t="n">
        <f aca="false">L6*Assumptions!$B$19-R6-(Assumptions!$B$20+Assumptions!$B$21)/10^7-L6*Assumptions!$B$22</f>
        <v>0.0565711035300787</v>
      </c>
      <c r="U6" s="7" t="n">
        <f aca="false">L6*P6*(Assumptions!$B$19-Assumptions!$B$22)</f>
        <v>0.162185422910405</v>
      </c>
      <c r="V6" s="13" t="n">
        <f aca="false">T6-U6</f>
        <v>-0.105614319380326</v>
      </c>
      <c r="W6" s="7" t="n">
        <f aca="false">(Assumptions!$B$23*Assumptions!$B$18+Assumptions!$B$24*Candidates!I6*Assumptions!$B$18+Assumptions!$B$25)/10^7</f>
        <v>3.9</v>
      </c>
      <c r="X6" s="11" t="n">
        <f aca="false">IF(V6&gt;0,W6/V6,99)</f>
        <v>99</v>
      </c>
      <c r="Y6" s="37" t="n">
        <f aca="false">Cashflows!L6</f>
        <v>-7.18237725319665</v>
      </c>
      <c r="Z6" s="5" t="str">
        <f aca="false">IF(AND(X6&lt;=Assumptions!$B$35,Y6&gt;0),"Yes","No")</f>
        <v>No</v>
      </c>
    </row>
    <row r="7" customFormat="false" ht="15" hidden="false" customHeight="false" outlineLevel="0" collapsed="false">
      <c r="A7" s="34" t="str">
        <f aca="false">Candidates!A7</f>
        <v>Bellandur</v>
      </c>
      <c r="B7" s="35" t="n">
        <f aca="false">Candidates!D7/Assumptions!$B$4</f>
        <v>28947.3684210526</v>
      </c>
      <c r="C7" s="35" t="n">
        <f aca="false">Candidates!E7*Assumptions!$B$5</f>
        <v>18900</v>
      </c>
      <c r="D7" s="31" t="n">
        <f aca="false">MIN(Assumptions!$B$8,Assumptions!$B$6+Assumptions!$B$7*Candidates!E7/1000)</f>
        <v>0.37</v>
      </c>
      <c r="E7" s="7" t="n">
        <f aca="false">Candidates!J7/Assumptions!$B$10</f>
        <v>0.571428571428571</v>
      </c>
      <c r="F7" s="31" t="n">
        <f aca="false">E7/(E7+Candidates!H7+Assumptions!$B$9)</f>
        <v>0.0808080808080808</v>
      </c>
      <c r="G7" s="11" t="n">
        <f aca="false">B7*C7*D7*F7*12/10^7</f>
        <v>19.6294736842105</v>
      </c>
      <c r="H7" s="35" t="n">
        <f aca="false">Assumptions!$B$14+Assumptions!$B$15*Candidates!E7/1000</f>
        <v>687.5</v>
      </c>
      <c r="I7" s="35" t="n">
        <f aca="false">(Candidates!F7*Candidates!G7*Assumptions!$B$11+Candidates!F7*(1-Candidates!G7)*Assumptions!$B$12)*Assumptions!$B$13</f>
        <v>900</v>
      </c>
      <c r="J7" s="11" t="n">
        <f aca="false">I7*H7*Assumptions!$B$17/10^7</f>
        <v>22.584375</v>
      </c>
      <c r="K7" s="14" t="n">
        <f aca="false">ABS(G7-J7)/MAX(G7,J7)</f>
        <v>0.130838303729436</v>
      </c>
      <c r="L7" s="11" t="n">
        <f aca="false">(Assumptions!$B$16*G7+(1-Assumptions!$B$16)*J7)*Existing_Stores!$C$13</f>
        <v>26.9066828412427</v>
      </c>
      <c r="M7" s="35" t="n">
        <f aca="false">L7*10^7/Assumptions!$B$18</f>
        <v>26906.6828412427</v>
      </c>
      <c r="N7" s="34" t="str">
        <f aca="false">Distances!H7</f>
        <v>HSR Layout</v>
      </c>
      <c r="O7" s="36" t="n">
        <f aca="false">Distances!I7</f>
        <v>3.50809272777276</v>
      </c>
      <c r="P7" s="14" t="n">
        <f aca="false">MAX(0,Assumptions!$B$32*(1-O7/Assumptions!$B$33))</f>
        <v>0.196520943159942</v>
      </c>
      <c r="Q7" s="11" t="n">
        <f aca="false">L7*(1-P7)</f>
        <v>21.6189561519762</v>
      </c>
      <c r="R7" s="7" t="n">
        <f aca="false">Candidates!I7*Assumptions!$B$18*12/10^7</f>
        <v>1.56</v>
      </c>
      <c r="S7" s="31" t="n">
        <f aca="false">R7/L7</f>
        <v>0.0579781613811133</v>
      </c>
      <c r="T7" s="13" t="n">
        <f aca="false">L7*Assumptions!$B$19-R7-(Assumptions!$B$20+Assumptions!$B$21)/10^7-L7*Assumptions!$B$22</f>
        <v>1.04506925459883</v>
      </c>
      <c r="U7" s="7" t="n">
        <f aca="false">L7*P7*(Assumptions!$B$19-Assumptions!$B$22)</f>
        <v>0.846036270282629</v>
      </c>
      <c r="V7" s="13" t="n">
        <f aca="false">T7-U7</f>
        <v>0.199032984316199</v>
      </c>
      <c r="W7" s="7" t="n">
        <f aca="false">(Assumptions!$B$23*Assumptions!$B$18+Assumptions!$B$24*Candidates!I7*Assumptions!$B$18+Assumptions!$B$25)/10^7</f>
        <v>3.78</v>
      </c>
      <c r="X7" s="11" t="n">
        <f aca="false">IF(V7&gt;0,W7/V7,99)</f>
        <v>18.9918269727333</v>
      </c>
      <c r="Y7" s="37" t="n">
        <f aca="false">Cashflows!L7</f>
        <v>-4.11512187088995</v>
      </c>
      <c r="Z7" s="5" t="str">
        <f aca="false">IF(AND(X7&lt;=Assumptions!$B$35,Y7&gt;0),"Yes","No")</f>
        <v>No</v>
      </c>
    </row>
    <row r="8" customFormat="false" ht="15" hidden="false" customHeight="false" outlineLevel="0" collapsed="false">
      <c r="A8" s="34" t="str">
        <f aca="false">Candidates!A8</f>
        <v>Sarjapur Road</v>
      </c>
      <c r="B8" s="35" t="n">
        <f aca="false">Candidates!D8/Assumptions!$B$4</f>
        <v>25000</v>
      </c>
      <c r="C8" s="35" t="n">
        <f aca="false">Candidates!E8*Assumptions!$B$5</f>
        <v>16800</v>
      </c>
      <c r="D8" s="31" t="n">
        <f aca="false">MIN(Assumptions!$B$8,Assumptions!$B$6+Assumptions!$B$7*Candidates!E8/1000)</f>
        <v>0.34</v>
      </c>
      <c r="E8" s="7" t="n">
        <f aca="false">Candidates!J8/Assumptions!$B$10</f>
        <v>0.714285714285714</v>
      </c>
      <c r="F8" s="31" t="n">
        <f aca="false">E8/(E8+Candidates!H8+Assumptions!$B$9)</f>
        <v>0.136986301369863</v>
      </c>
      <c r="G8" s="11" t="n">
        <f aca="false">B8*C8*D8*F8*12/10^7</f>
        <v>23.4739726027397</v>
      </c>
      <c r="H8" s="35" t="n">
        <f aca="false">Assumptions!$B$14+Assumptions!$B$15*Candidates!E8/1000</f>
        <v>650</v>
      </c>
      <c r="I8" s="35" t="n">
        <f aca="false">(Candidates!F8*Candidates!G8*Assumptions!$B$11+Candidates!F8*(1-Candidates!G8)*Assumptions!$B$12)*Assumptions!$B$13</f>
        <v>810</v>
      </c>
      <c r="J8" s="11" t="n">
        <f aca="false">I8*H8*Assumptions!$B$17/10^7</f>
        <v>19.21725</v>
      </c>
      <c r="K8" s="14" t="n">
        <f aca="false">ABS(G8-J8)/MAX(G8,J8)</f>
        <v>0.181337972689075</v>
      </c>
      <c r="L8" s="11" t="n">
        <f aca="false">(Assumptions!$B$16*G8+(1-Assumptions!$B$16)*J8)*Existing_Stores!$C$13</f>
        <v>27.2109561786167</v>
      </c>
      <c r="M8" s="35" t="n">
        <f aca="false">L8*10^7/Assumptions!$B$18</f>
        <v>27210.9561786167</v>
      </c>
      <c r="N8" s="34" t="str">
        <f aca="false">Distances!H8</f>
        <v>HSR Layout</v>
      </c>
      <c r="O8" s="36" t="n">
        <f aca="false">Distances!I8</f>
        <v>5.61598032807623</v>
      </c>
      <c r="P8" s="14" t="n">
        <f aca="false">MAX(0,Assumptions!$B$32*(1-O8/Assumptions!$B$33))</f>
        <v>0.104300860646665</v>
      </c>
      <c r="Q8" s="11" t="n">
        <f aca="false">L8*(1-P8)</f>
        <v>24.3728300301683</v>
      </c>
      <c r="R8" s="7" t="n">
        <f aca="false">Candidates!I8*Assumptions!$B$18*12/10^7</f>
        <v>1.14</v>
      </c>
      <c r="S8" s="31" t="n">
        <f aca="false">R8/L8</f>
        <v>0.0418948894157513</v>
      </c>
      <c r="T8" s="13" t="n">
        <f aca="false">L8*Assumptions!$B$19-R8-(Assumptions!$B$20+Assumptions!$B$21)/10^7-L8*Assumptions!$B$22</f>
        <v>1.51375298857867</v>
      </c>
      <c r="U8" s="7" t="n">
        <f aca="false">L8*P8*(Assumptions!$B$19-Assumptions!$B$22)</f>
        <v>0.454100183751745</v>
      </c>
      <c r="V8" s="13" t="n">
        <f aca="false">T8-U8</f>
        <v>1.05965280482693</v>
      </c>
      <c r="W8" s="7" t="n">
        <f aca="false">(Assumptions!$B$23*Assumptions!$B$18+Assumptions!$B$24*Candidates!I8*Assumptions!$B$18+Assumptions!$B$25)/10^7</f>
        <v>3.57</v>
      </c>
      <c r="X8" s="11" t="n">
        <f aca="false">IF(V8&gt;0,W8/V8,99)</f>
        <v>3.3690280285561</v>
      </c>
      <c r="Y8" s="37" t="n">
        <f aca="false">Cashflows!L8</f>
        <v>3.09252473730212</v>
      </c>
      <c r="Z8" s="5" t="str">
        <f aca="false">IF(AND(X8&lt;=Assumptions!$B$35,Y8&gt;0),"Yes","No")</f>
        <v>Yes</v>
      </c>
    </row>
    <row r="9" customFormat="false" ht="15" hidden="false" customHeight="false" outlineLevel="0" collapsed="false">
      <c r="A9" s="34" t="str">
        <f aca="false">Candidates!A9</f>
        <v>Hebbal</v>
      </c>
      <c r="B9" s="35" t="n">
        <f aca="false">Candidates!D9/Assumptions!$B$4</f>
        <v>26315.7894736842</v>
      </c>
      <c r="C9" s="35" t="n">
        <f aca="false">Candidates!E9*Assumptions!$B$5</f>
        <v>14700</v>
      </c>
      <c r="D9" s="31" t="n">
        <f aca="false">MIN(Assumptions!$B$8,Assumptions!$B$6+Assumptions!$B$7*Candidates!E9/1000)</f>
        <v>0.31</v>
      </c>
      <c r="E9" s="7" t="n">
        <f aca="false">Candidates!J9/Assumptions!$B$10</f>
        <v>1</v>
      </c>
      <c r="F9" s="31" t="n">
        <f aca="false">E9/(E9+Candidates!H9+Assumptions!$B$9)</f>
        <v>0.153846153846154</v>
      </c>
      <c r="G9" s="11" t="n">
        <f aca="false">B9*C9*D9*F9*12/10^7</f>
        <v>22.1392712550607</v>
      </c>
      <c r="H9" s="35" t="n">
        <f aca="false">Assumptions!$B$14+Assumptions!$B$15*Candidates!E9/1000</f>
        <v>612.5</v>
      </c>
      <c r="I9" s="35" t="n">
        <f aca="false">(Candidates!F9*Candidates!G9*Assumptions!$B$11+Candidates!F9*(1-Candidates!G9)*Assumptions!$B$12)*Assumptions!$B$13</f>
        <v>900</v>
      </c>
      <c r="J9" s="11" t="n">
        <f aca="false">I9*H9*Assumptions!$B$17/10^7</f>
        <v>20.120625</v>
      </c>
      <c r="K9" s="14" t="n">
        <f aca="false">ABS(G9-J9)/MAX(G9,J9)</f>
        <v>0.091179435483871</v>
      </c>
      <c r="L9" s="11" t="n">
        <f aca="false">(Assumptions!$B$16*G9+(1-Assumptions!$B$16)*J9)*Existing_Stores!$C$13</f>
        <v>26.9360331000581</v>
      </c>
      <c r="M9" s="35" t="n">
        <f aca="false">L9*10^7/Assumptions!$B$18</f>
        <v>26936.0331000581</v>
      </c>
      <c r="N9" s="34" t="str">
        <f aca="false">Distances!H9</f>
        <v>Malleshwaram</v>
      </c>
      <c r="O9" s="36" t="n">
        <f aca="false">Distances!I9</f>
        <v>4.57108026472772</v>
      </c>
      <c r="P9" s="14" t="n">
        <f aca="false">MAX(0,Assumptions!$B$32*(1-O9/Assumptions!$B$33))</f>
        <v>0.150015238418162</v>
      </c>
      <c r="Q9" s="11" t="n">
        <f aca="false">L9*(1-P9)</f>
        <v>22.8952176725134</v>
      </c>
      <c r="R9" s="7" t="n">
        <f aca="false">Candidates!I9*Assumptions!$B$18*12/10^7</f>
        <v>1.44</v>
      </c>
      <c r="S9" s="31" t="n">
        <f aca="false">R9/L9</f>
        <v>0.0534599877662348</v>
      </c>
      <c r="T9" s="13" t="n">
        <f aca="false">L9*Assumptions!$B$19-R9-(Assumptions!$B$20+Assumptions!$B$21)/10^7-L9*Assumptions!$B$22</f>
        <v>1.16976529600929</v>
      </c>
      <c r="U9" s="7" t="n">
        <f aca="false">L9*P9*(Assumptions!$B$19-Assumptions!$B$22)</f>
        <v>0.646530468407156</v>
      </c>
      <c r="V9" s="13" t="n">
        <f aca="false">T9-U9</f>
        <v>0.523234827602137</v>
      </c>
      <c r="W9" s="7" t="n">
        <f aca="false">(Assumptions!$B$23*Assumptions!$B$18+Assumptions!$B$24*Candidates!I9*Assumptions!$B$18+Assumptions!$B$25)/10^7</f>
        <v>3.72</v>
      </c>
      <c r="X9" s="11" t="n">
        <f aca="false">IF(V9&gt;0,W9/V9,99)</f>
        <v>7.1096184805738</v>
      </c>
      <c r="Y9" s="37" t="n">
        <f aca="false">Cashflows!L9</f>
        <v>-2.85163667613964</v>
      </c>
      <c r="Z9" s="5" t="str">
        <f aca="false">IF(AND(X9&lt;=Assumptions!$B$35,Y9&gt;0),"Yes","No")</f>
        <v>No</v>
      </c>
    </row>
    <row r="10" customFormat="false" ht="15" hidden="false" customHeight="false" outlineLevel="0" collapsed="false">
      <c r="A10" s="34" t="str">
        <f aca="false">Candidates!A10</f>
        <v>Electronic City</v>
      </c>
      <c r="B10" s="35" t="n">
        <f aca="false">Candidates!D10/Assumptions!$B$4</f>
        <v>23684.2105263158</v>
      </c>
      <c r="C10" s="35" t="n">
        <f aca="false">Candidates!E10*Assumptions!$B$5</f>
        <v>13300</v>
      </c>
      <c r="D10" s="31" t="n">
        <f aca="false">MIN(Assumptions!$B$8,Assumptions!$B$6+Assumptions!$B$7*Candidates!E10/1000)</f>
        <v>0.29</v>
      </c>
      <c r="E10" s="7" t="n">
        <f aca="false">Candidates!J10/Assumptions!$B$10</f>
        <v>1</v>
      </c>
      <c r="F10" s="31" t="n">
        <f aca="false">E10/(E10+Candidates!H10+Assumptions!$B$9)</f>
        <v>0.153846153846154</v>
      </c>
      <c r="G10" s="11" t="n">
        <f aca="false">B10*C10*D10*F10*12/10^7</f>
        <v>16.8646153846154</v>
      </c>
      <c r="H10" s="35" t="n">
        <f aca="false">Assumptions!$B$14+Assumptions!$B$15*Candidates!E10/1000</f>
        <v>587.5</v>
      </c>
      <c r="I10" s="35" t="n">
        <f aca="false">(Candidates!F10*Candidates!G10*Assumptions!$B$11+Candidates!F10*(1-Candidates!G10)*Assumptions!$B$12)*Assumptions!$B$13</f>
        <v>900</v>
      </c>
      <c r="J10" s="11" t="n">
        <f aca="false">I10*H10*Assumptions!$B$17/10^7</f>
        <v>19.299375</v>
      </c>
      <c r="K10" s="14" t="n">
        <f aca="false">ABS(G10-J10)/MAX(G10,J10)</f>
        <v>0.1261574333565</v>
      </c>
      <c r="L10" s="11" t="n">
        <f aca="false">(Assumptions!$B$16*G10+(1-Assumptions!$B$16)*J10)*Existing_Stores!$C$13</f>
        <v>23.0505639708836</v>
      </c>
      <c r="M10" s="35" t="n">
        <f aca="false">L10*10^7/Assumptions!$B$18</f>
        <v>23050.5639708836</v>
      </c>
      <c r="N10" s="34" t="str">
        <f aca="false">Distances!H10</f>
        <v>HSR Layout</v>
      </c>
      <c r="O10" s="36" t="n">
        <f aca="false">Distances!I10</f>
        <v>7.51258217306637</v>
      </c>
      <c r="P10" s="14" t="n">
        <f aca="false">MAX(0,Assumptions!$B$32*(1-O10/Assumptions!$B$33))</f>
        <v>0.0213245299283463</v>
      </c>
      <c r="Q10" s="11" t="n">
        <f aca="false">L10*(1-P10)</f>
        <v>22.5590215296212</v>
      </c>
      <c r="R10" s="7" t="n">
        <f aca="false">Candidates!I10*Assumptions!$B$18*12/10^7</f>
        <v>0.9</v>
      </c>
      <c r="S10" s="31" t="n">
        <f aca="false">R10/L10</f>
        <v>0.0390445978300938</v>
      </c>
      <c r="T10" s="13" t="n">
        <f aca="false">L10*Assumptions!$B$19-R10-(Assumptions!$B$20+Assumptions!$B$21)/10^7-L10*Assumptions!$B$22</f>
        <v>1.08809023534138</v>
      </c>
      <c r="U10" s="7" t="n">
        <f aca="false">L10*P10*(Assumptions!$B$19-Assumptions!$B$22)</f>
        <v>0.0786467906019791</v>
      </c>
      <c r="V10" s="13" t="n">
        <f aca="false">T10-U10</f>
        <v>1.0094434447394</v>
      </c>
      <c r="W10" s="7" t="n">
        <f aca="false">(Assumptions!$B$23*Assumptions!$B$18+Assumptions!$B$24*Candidates!I10*Assumptions!$B$18+Assumptions!$B$25)/10^7</f>
        <v>3.45</v>
      </c>
      <c r="X10" s="11" t="n">
        <f aca="false">IF(V10&gt;0,W10/V10,99)</f>
        <v>3.41772490373709</v>
      </c>
      <c r="Y10" s="37" t="n">
        <f aca="false">Cashflows!L10</f>
        <v>1.26267071392214</v>
      </c>
      <c r="Z10" s="5" t="str">
        <f aca="false">IF(AND(X10&lt;=Assumptions!$B$35,Y10&gt;0),"Yes","No")</f>
        <v>Yes</v>
      </c>
    </row>
    <row r="11" customFormat="false" ht="15" hidden="false" customHeight="false" outlineLevel="0" collapsed="false">
      <c r="A11" s="34" t="str">
        <f aca="false">Candidates!A11</f>
        <v>Kanakapura Road</v>
      </c>
      <c r="B11" s="35" t="n">
        <f aca="false">Candidates!D11/Assumptions!$B$4</f>
        <v>27631.5789473684</v>
      </c>
      <c r="C11" s="35" t="n">
        <f aca="false">Candidates!E11*Assumptions!$B$5</f>
        <v>11900</v>
      </c>
      <c r="D11" s="31" t="n">
        <f aca="false">MIN(Assumptions!$B$8,Assumptions!$B$6+Assumptions!$B$7*Candidates!E11/1000)</f>
        <v>0.27</v>
      </c>
      <c r="E11" s="7" t="n">
        <f aca="false">Candidates!J11/Assumptions!$B$10</f>
        <v>1.14285714285714</v>
      </c>
      <c r="F11" s="31" t="n">
        <f aca="false">E11/(E11+Candidates!H11+Assumptions!$B$9)</f>
        <v>0.246153846153846</v>
      </c>
      <c r="G11" s="11" t="n">
        <f aca="false">B11*C11*D11*F11*12/10^7</f>
        <v>26.2243238866397</v>
      </c>
      <c r="H11" s="35" t="n">
        <f aca="false">Assumptions!$B$14+Assumptions!$B$15*Candidates!E11/1000</f>
        <v>562.5</v>
      </c>
      <c r="I11" s="35" t="n">
        <f aca="false">(Candidates!F11*Candidates!G11*Assumptions!$B$11+Candidates!F11*(1-Candidates!G11)*Assumptions!$B$12)*Assumptions!$B$13</f>
        <v>975</v>
      </c>
      <c r="J11" s="11" t="n">
        <f aca="false">I11*H11*Assumptions!$B$17/10^7</f>
        <v>20.01796875</v>
      </c>
      <c r="K11" s="14" t="n">
        <f aca="false">ABS(G11-J11)/MAX(G11,J11)</f>
        <v>0.236664066668334</v>
      </c>
      <c r="L11" s="11" t="n">
        <f aca="false">(Assumptions!$B$16*G11+(1-Assumptions!$B$16)*J11)*Existing_Stores!$C$13</f>
        <v>29.4743725248482</v>
      </c>
      <c r="M11" s="35" t="n">
        <f aca="false">L11*10^7/Assumptions!$B$18</f>
        <v>29474.3725248482</v>
      </c>
      <c r="N11" s="34" t="str">
        <f aca="false">Distances!H11</f>
        <v>Jayanagar</v>
      </c>
      <c r="O11" s="36" t="n">
        <f aca="false">Distances!I11</f>
        <v>5.44299307010142</v>
      </c>
      <c r="P11" s="14" t="n">
        <f aca="false">MAX(0,Assumptions!$B$32*(1-O11/Assumptions!$B$33))</f>
        <v>0.111869053183063</v>
      </c>
      <c r="Q11" s="11" t="n">
        <f aca="false">L11*(1-P11)</f>
        <v>26.1771023773286</v>
      </c>
      <c r="R11" s="7" t="n">
        <f aca="false">Candidates!I11*Assumptions!$B$18*12/10^7</f>
        <v>0.78</v>
      </c>
      <c r="S11" s="31" t="n">
        <f aca="false">R11/L11</f>
        <v>0.0264636676944496</v>
      </c>
      <c r="T11" s="13" t="n">
        <f aca="false">L11*Assumptions!$B$19-R11-(Assumptions!$B$20+Assumptions!$B$21)/10^7-L11*Assumptions!$B$22</f>
        <v>2.23589960397572</v>
      </c>
      <c r="U11" s="7" t="n">
        <f aca="false">L11*P11*(Assumptions!$B$19-Assumptions!$B$22)</f>
        <v>0.527563223603144</v>
      </c>
      <c r="V11" s="13" t="n">
        <f aca="false">T11-U11</f>
        <v>1.70833638037257</v>
      </c>
      <c r="W11" s="7" t="n">
        <f aca="false">(Assumptions!$B$23*Assumptions!$B$18+Assumptions!$B$24*Candidates!I11*Assumptions!$B$18+Assumptions!$B$25)/10^7</f>
        <v>3.39</v>
      </c>
      <c r="X11" s="11" t="n">
        <f aca="false">IF(V11&gt;0,W11/V11,99)</f>
        <v>1.98438670448537</v>
      </c>
      <c r="Y11" s="37" t="n">
        <f aca="false">Cashflows!L11</f>
        <v>5.96942089447559</v>
      </c>
      <c r="Z11" s="5" t="str">
        <f aca="false">IF(AND(X11&lt;=Assumptions!$B$35,Y11&gt;0),"Yes","No")</f>
        <v>Yes</v>
      </c>
    </row>
    <row r="12" customFormat="false" ht="15" hidden="false" customHeight="false" outlineLevel="0" collapsed="false">
      <c r="A12" s="34" t="str">
        <f aca="false">Candidates!A12</f>
        <v>Yelahanka</v>
      </c>
      <c r="B12" s="35" t="n">
        <f aca="false">Candidates!D12/Assumptions!$B$4</f>
        <v>22368.4210526316</v>
      </c>
      <c r="C12" s="35" t="n">
        <f aca="false">Candidates!E12*Assumptions!$B$5</f>
        <v>11200</v>
      </c>
      <c r="D12" s="31" t="n">
        <f aca="false">MIN(Assumptions!$B$8,Assumptions!$B$6+Assumptions!$B$7*Candidates!E12/1000)</f>
        <v>0.26</v>
      </c>
      <c r="E12" s="7" t="n">
        <f aca="false">Candidates!J12/Assumptions!$B$10</f>
        <v>0.857142857142857</v>
      </c>
      <c r="F12" s="31" t="n">
        <f aca="false">E12/(E12+Candidates!H12+Assumptions!$B$9)</f>
        <v>0.19672131147541</v>
      </c>
      <c r="G12" s="11" t="n">
        <f aca="false">B12*C12*D12*F12*12/10^7</f>
        <v>15.3765660051769</v>
      </c>
      <c r="H12" s="35" t="n">
        <f aca="false">Assumptions!$B$14+Assumptions!$B$15*Candidates!E12/1000</f>
        <v>550</v>
      </c>
      <c r="I12" s="35" t="n">
        <f aca="false">(Candidates!F12*Candidates!G12*Assumptions!$B$11+Candidates!F12*(1-Candidates!G12)*Assumptions!$B$12)*Assumptions!$B$13</f>
        <v>783.75</v>
      </c>
      <c r="J12" s="11" t="n">
        <f aca="false">I12*H12*Assumptions!$B$17/10^7</f>
        <v>15.73378125</v>
      </c>
      <c r="K12" s="14" t="n">
        <f aca="false">ABS(G12-J12)/MAX(G12,J12)</f>
        <v>0.0227037124227923</v>
      </c>
      <c r="L12" s="11" t="n">
        <f aca="false">(Assumptions!$B$16*G12+(1-Assumptions!$B$16)*J12)*Existing_Stores!$C$13</f>
        <v>19.8294226365829</v>
      </c>
      <c r="M12" s="35" t="n">
        <f aca="false">L12*10^7/Assumptions!$B$18</f>
        <v>19829.4226365829</v>
      </c>
      <c r="N12" s="34" t="str">
        <f aca="false">Distances!H12</f>
        <v>Malleshwaram</v>
      </c>
      <c r="O12" s="36" t="n">
        <f aca="false">Distances!I12</f>
        <v>11.1528540030472</v>
      </c>
      <c r="P12" s="14" t="n">
        <f aca="false">MAX(0,Assumptions!$B$32*(1-O12/Assumptions!$B$33))</f>
        <v>0</v>
      </c>
      <c r="Q12" s="11" t="n">
        <f aca="false">L12*(1-P12)</f>
        <v>19.8294226365829</v>
      </c>
      <c r="R12" s="7" t="n">
        <f aca="false">Candidates!I12*Assumptions!$B$18*12/10^7</f>
        <v>0.84</v>
      </c>
      <c r="S12" s="31" t="n">
        <f aca="false">R12/L12</f>
        <v>0.0423612938911445</v>
      </c>
      <c r="T12" s="13" t="n">
        <f aca="false">L12*Assumptions!$B$19-R12-(Assumptions!$B$20+Assumptions!$B$21)/10^7-L12*Assumptions!$B$22</f>
        <v>0.632707621853261</v>
      </c>
      <c r="U12" s="7" t="n">
        <f aca="false">L12*P12*(Assumptions!$B$19-Assumptions!$B$22)</f>
        <v>0</v>
      </c>
      <c r="V12" s="13" t="n">
        <f aca="false">T12-U12</f>
        <v>0.632707621853261</v>
      </c>
      <c r="W12" s="7" t="n">
        <f aca="false">(Assumptions!$B$23*Assumptions!$B$18+Assumptions!$B$24*Candidates!I12*Assumptions!$B$18+Assumptions!$B$25)/10^7</f>
        <v>3.42</v>
      </c>
      <c r="X12" s="11" t="n">
        <f aca="false">IF(V12&gt;0,W12/V12,99)</f>
        <v>5.40534028969415</v>
      </c>
      <c r="Y12" s="37" t="n">
        <f aca="false">Cashflows!L12</f>
        <v>-1.25981255853019</v>
      </c>
      <c r="Z12" s="5" t="str">
        <f aca="false">IF(AND(X12&lt;=Assumptions!$B$35,Y12&gt;0),"Yes","No")</f>
        <v>No</v>
      </c>
    </row>
    <row r="14" customFormat="false" ht="15" hidden="false" customHeight="false" outlineLevel="0" collapsed="false">
      <c r="A14" s="2" t="s">
        <v>232</v>
      </c>
    </row>
    <row r="15" customFormat="false" ht="15" hidden="false" customHeight="false" outlineLevel="0" collapsed="false">
      <c r="A15" s="2" t="s">
        <v>233</v>
      </c>
    </row>
  </sheetData>
  <conditionalFormatting sqref="Z5:Z12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2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235</v>
      </c>
    </row>
    <row r="4" customFormat="false" ht="45" hidden="false" customHeight="true" outlineLevel="0" collapsed="false">
      <c r="A4" s="10" t="s">
        <v>24</v>
      </c>
      <c r="B4" s="10" t="s">
        <v>236</v>
      </c>
      <c r="C4" s="10" t="s">
        <v>237</v>
      </c>
      <c r="D4" s="10" t="s">
        <v>238</v>
      </c>
      <c r="E4" s="10" t="s">
        <v>239</v>
      </c>
      <c r="F4" s="10" t="s">
        <v>240</v>
      </c>
      <c r="G4" s="10" t="s">
        <v>241</v>
      </c>
      <c r="H4" s="10" t="s">
        <v>242</v>
      </c>
      <c r="I4" s="10" t="s">
        <v>243</v>
      </c>
      <c r="J4" s="10" t="s">
        <v>244</v>
      </c>
      <c r="K4" s="10" t="s">
        <v>245</v>
      </c>
      <c r="L4" s="10" t="s">
        <v>246</v>
      </c>
    </row>
    <row r="5" customFormat="false" ht="15" hidden="false" customHeight="false" outlineLevel="0" collapsed="false">
      <c r="A5" s="34" t="str">
        <f aca="false">Candidates!A5</f>
        <v>Whitefield</v>
      </c>
      <c r="B5" s="13" t="n">
        <f aca="false">(Model!$L5*Assumptions!$B$28*(1+Candidates!$K5)^0)*Assumptions!$B$19-Model!$R5*(1+Assumptions!$B$26)^0-(Assumptions!$B$20+Assumptions!$B$21)/10^7*(1+Assumptions!$B$27)^0-(Model!$L5*Assumptions!$B$28*(1+Candidates!$K5)^0)*Assumptions!$B$22-(Model!$L5*Assumptions!$B$28*(1+Candidates!$K5)^0)*Model!$P5*(Assumptions!$B$19-Assumptions!$B$22)</f>
        <v>-0.0127053912259267</v>
      </c>
      <c r="C5" s="13" t="n">
        <f aca="false">(Model!$L5*Assumptions!$B$29*(1+Candidates!$K5)^1)*Assumptions!$B$19-Model!$R5*(1+Assumptions!$B$26)^1-(Assumptions!$B$20+Assumptions!$B$21)/10^7*(1+Assumptions!$B$27)^1-(Model!$L5*Assumptions!$B$29*(1+Candidates!$K5)^1)*Assumptions!$B$22-(Model!$L5*Assumptions!$B$29*(1+Candidates!$K5)^1)*Model!$P5*(Assumptions!$B$19-Assumptions!$B$22)</f>
        <v>0.975815113645738</v>
      </c>
      <c r="D5" s="13" t="n">
        <f aca="false">(Model!$L5*Assumptions!$B$30*(1+Candidates!$K5)^2)*Assumptions!$B$19-Model!$R5*(1+Assumptions!$B$26)^2-(Assumptions!$B$20+Assumptions!$B$21)/10^7*(1+Assumptions!$B$27)^2-(Model!$L5*Assumptions!$B$30*(1+Candidates!$K5)^2)*Assumptions!$B$22-(Model!$L5*Assumptions!$B$30*(1+Candidates!$K5)^2)*Model!$P5*(Assumptions!$B$19-Assumptions!$B$22)</f>
        <v>1.51823199306644</v>
      </c>
      <c r="E5" s="13" t="n">
        <f aca="false">(Model!$L5*Assumptions!$B$30*(1+Candidates!$K5)^3)*Assumptions!$B$19-Model!$R5*(1+Assumptions!$B$26)^3-(Assumptions!$B$20+Assumptions!$B$21)/10^7*(1+Assumptions!$B$27)^3-(Model!$L5*Assumptions!$B$30*(1+Candidates!$K5)^3)*Assumptions!$B$22-(Model!$L5*Assumptions!$B$30*(1+Candidates!$K5)^3)*Model!$P5*(Assumptions!$B$19-Assumptions!$B$22)</f>
        <v>1.54830888275443</v>
      </c>
      <c r="F5" s="13" t="n">
        <f aca="false">(Model!$L5*Assumptions!$B$30*(1+Candidates!$K5)^4)*Assumptions!$B$19-Model!$R5*(1+Assumptions!$B$26)^4-(Assumptions!$B$20+Assumptions!$B$21)/10^7*(1+Assumptions!$B$27)^4-(Model!$L5*Assumptions!$B$30*(1+Candidates!$K5)^4)*Assumptions!$B$22-(Model!$L5*Assumptions!$B$30*(1+Candidates!$K5)^4)*Model!$P5*(Assumptions!$B$19-Assumptions!$B$22)</f>
        <v>1.57754053697838</v>
      </c>
      <c r="G5" s="13" t="n">
        <f aca="false">(Model!$L5*Assumptions!$B$30*(1+Candidates!$K5)^5)*Assumptions!$B$19-Model!$R5*(1+Assumptions!$B$26)^5-(Assumptions!$B$20+Assumptions!$B$21)/10^7*(1+Assumptions!$B$27)^5-(Model!$L5*Assumptions!$B$30*(1+Candidates!$K5)^5)*Assumptions!$B$22-(Model!$L5*Assumptions!$B$30*(1+Candidates!$K5)^5)*Model!$P5*(Assumptions!$B$19-Assumptions!$B$22)</f>
        <v>1.6057617942874</v>
      </c>
      <c r="H5" s="13" t="n">
        <f aca="false">(Model!$L5*Assumptions!$B$30*(1+Candidates!$K5)^6)*Assumptions!$B$19-Model!$R5*(1+Assumptions!$B$26)^6-(Assumptions!$B$20+Assumptions!$B$21)/10^7*(1+Assumptions!$B$27)^6-(Model!$L5*Assumptions!$B$30*(1+Candidates!$K5)^6)*Assumptions!$B$22-(Model!$L5*Assumptions!$B$30*(1+Candidates!$K5)^6)*Model!$P5*(Assumptions!$B$19-Assumptions!$B$22)</f>
        <v>1.63279267320779</v>
      </c>
      <c r="I5" s="13" t="n">
        <f aca="false">(Model!$L5*Assumptions!$B$30*(1+Candidates!$K5)^7)*Assumptions!$B$19-Model!$R5*(1+Assumptions!$B$26)^7-(Assumptions!$B$20+Assumptions!$B$21)/10^7*(1+Assumptions!$B$27)^7-(Model!$L5*Assumptions!$B$30*(1+Candidates!$K5)^7)*Assumptions!$B$22-(Model!$L5*Assumptions!$B$30*(1+Candidates!$K5)^7)*Model!$P5*(Assumptions!$B$19-Assumptions!$B$22)</f>
        <v>1.65843727406617</v>
      </c>
      <c r="J5" s="13" t="n">
        <f aca="false">(Model!$L5*Assumptions!$B$30*(1+Candidates!$K5)^8)*Assumptions!$B$19-Model!$R5*(1+Assumptions!$B$26)^8-(Assumptions!$B$20+Assumptions!$B$21)/10^7*(1+Assumptions!$B$27)^8-(Model!$L5*Assumptions!$B$30*(1+Candidates!$K5)^8)*Assumptions!$B$22-(Model!$L5*Assumptions!$B$30*(1+Candidates!$K5)^8)*Model!$P5*(Assumptions!$B$19-Assumptions!$B$22)</f>
        <v>1.68248260611776</v>
      </c>
      <c r="K5" s="13" t="n">
        <f aca="false">NPV(Assumptions!$B$31,B5:J5)</f>
        <v>6.5549909087771</v>
      </c>
      <c r="L5" s="38" t="n">
        <f aca="false">K5-Model!W5</f>
        <v>2.6849909087771</v>
      </c>
    </row>
    <row r="6" customFormat="false" ht="15" hidden="false" customHeight="false" outlineLevel="0" collapsed="false">
      <c r="A6" s="34" t="str">
        <f aca="false">Candidates!A6</f>
        <v>Marathahalli</v>
      </c>
      <c r="B6" s="13" t="n">
        <f aca="false">(Model!$L6*Assumptions!$B$28*(1+Candidates!$K6)^0)*Assumptions!$B$19-Model!$R6*(1+Assumptions!$B$26)^0-(Assumptions!$B$20+Assumptions!$B$21)/10^7*(1+Assumptions!$B$27)^0-(Model!$L6*Assumptions!$B$28*(1+Candidates!$K6)^0)*Assumptions!$B$22-(Model!$L6*Assumptions!$B$28*(1+Candidates!$K6)^0)*Model!$P6*(Assumptions!$B$19-Assumptions!$B$22)</f>
        <v>-1.12393002356623</v>
      </c>
      <c r="C6" s="13" t="n">
        <f aca="false">(Model!$L6*Assumptions!$B$29*(1+Candidates!$K6)^1)*Assumptions!$B$19-Model!$R6*(1+Assumptions!$B$26)^1-(Assumptions!$B$20+Assumptions!$B$21)/10^7*(1+Assumptions!$B$27)^1-(Model!$L6*Assumptions!$B$29*(1+Candidates!$K6)^1)*Assumptions!$B$22-(Model!$L6*Assumptions!$B$29*(1+Candidates!$K6)^1)*Model!$P6*(Assumptions!$B$19-Assumptions!$B$22)</f>
        <v>-0.530129738502775</v>
      </c>
      <c r="D6" s="13" t="n">
        <f aca="false">(Model!$L6*Assumptions!$B$30*(1+Candidates!$K6)^2)*Assumptions!$B$19-Model!$R6*(1+Assumptions!$B$26)^2-(Assumptions!$B$20+Assumptions!$B$21)/10^7*(1+Assumptions!$B$27)^2-(Model!$L6*Assumptions!$B$30*(1+Candidates!$K6)^2)*Assumptions!$B$22-(Model!$L6*Assumptions!$B$30*(1+Candidates!$K6)^2)*Model!$P6*(Assumptions!$B$19-Assumptions!$B$22)</f>
        <v>-0.258469199278191</v>
      </c>
      <c r="E6" s="13" t="n">
        <f aca="false">(Model!$L6*Assumptions!$B$30*(1+Candidates!$K6)^3)*Assumptions!$B$19-Model!$R6*(1+Assumptions!$B$26)^3-(Assumptions!$B$20+Assumptions!$B$21)/10^7*(1+Assumptions!$B$27)^3-(Model!$L6*Assumptions!$B$30*(1+Candidates!$K6)^3)*Assumptions!$B$22-(Model!$L6*Assumptions!$B$30*(1+Candidates!$K6)^3)*Model!$P6*(Assumptions!$B$19-Assumptions!$B$22)</f>
        <v>-0.345036121252928</v>
      </c>
      <c r="F6" s="13" t="n">
        <f aca="false">(Model!$L6*Assumptions!$B$30*(1+Candidates!$K6)^4)*Assumptions!$B$19-Model!$R6*(1+Assumptions!$B$26)^4-(Assumptions!$B$20+Assumptions!$B$21)/10^7*(1+Assumptions!$B$27)^4-(Model!$L6*Assumptions!$B$30*(1+Candidates!$K6)^4)*Assumptions!$B$22-(Model!$L6*Assumptions!$B$30*(1+Candidates!$K6)^4)*Model!$P6*(Assumptions!$B$19-Assumptions!$B$22)</f>
        <v>-0.438986440496782</v>
      </c>
      <c r="G6" s="13" t="n">
        <f aca="false">(Model!$L6*Assumptions!$B$30*(1+Candidates!$K6)^5)*Assumptions!$B$19-Model!$R6*(1+Assumptions!$B$26)^5-(Assumptions!$B$20+Assumptions!$B$21)/10^7*(1+Assumptions!$B$27)^5-(Model!$L6*Assumptions!$B$30*(1+Candidates!$K6)^5)*Assumptions!$B$22-(Model!$L6*Assumptions!$B$30*(1+Candidates!$K6)^5)*Model!$P6*(Assumptions!$B$19-Assumptions!$B$22)</f>
        <v>-0.54082490546417</v>
      </c>
      <c r="H6" s="13" t="n">
        <f aca="false">(Model!$L6*Assumptions!$B$30*(1+Candidates!$K6)^6)*Assumptions!$B$19-Model!$R6*(1+Assumptions!$B$26)^6-(Assumptions!$B$20+Assumptions!$B$21)/10^7*(1+Assumptions!$B$27)^6-(Model!$L6*Assumptions!$B$30*(1+Candidates!$K6)^6)*Assumptions!$B$22-(Model!$L6*Assumptions!$B$30*(1+Candidates!$K6)^6)*Model!$P6*(Assumptions!$B$19-Assumptions!$B$22)</f>
        <v>-0.651087966390916</v>
      </c>
      <c r="I6" s="13" t="n">
        <f aca="false">(Model!$L6*Assumptions!$B$30*(1+Candidates!$K6)^7)*Assumptions!$B$19-Model!$R6*(1+Assumptions!$B$26)^7-(Assumptions!$B$20+Assumptions!$B$21)/10^7*(1+Assumptions!$B$27)^7-(Model!$L6*Assumptions!$B$30*(1+Candidates!$K6)^7)*Assumptions!$B$22-(Model!$L6*Assumptions!$B$30*(1+Candidates!$K6)^7)*Model!$P6*(Assumptions!$B$19-Assumptions!$B$22)</f>
        <v>-0.770345689782354</v>
      </c>
      <c r="J6" s="13" t="n">
        <f aca="false">(Model!$L6*Assumptions!$B$30*(1+Candidates!$K6)^8)*Assumptions!$B$19-Model!$R6*(1+Assumptions!$B$26)^8-(Assumptions!$B$20+Assumptions!$B$21)/10^7*(1+Assumptions!$B$27)^8-(Model!$L6*Assumptions!$B$30*(1+Candidates!$K6)^8)*Assumptions!$B$22-(Model!$L6*Assumptions!$B$30*(1+Candidates!$K6)^8)*Model!$P6*(Assumptions!$B$19-Assumptions!$B$22)</f>
        <v>-0.899203786343588</v>
      </c>
      <c r="K6" s="13" t="n">
        <f aca="false">NPV(Assumptions!$B$31,B6:J6)</f>
        <v>-3.28237725319665</v>
      </c>
      <c r="L6" s="38" t="n">
        <f aca="false">K6-Model!W6</f>
        <v>-7.18237725319665</v>
      </c>
    </row>
    <row r="7" customFormat="false" ht="15" hidden="false" customHeight="false" outlineLevel="0" collapsed="false">
      <c r="A7" s="34" t="str">
        <f aca="false">Candidates!A7</f>
        <v>Bellandur</v>
      </c>
      <c r="B7" s="13" t="n">
        <f aca="false">(Model!$L7*Assumptions!$B$28*(1+Candidates!$K7)^0)*Assumptions!$B$19-Model!$R7*(1+Assumptions!$B$26)^0-(Assumptions!$B$20+Assumptions!$B$21)/10^7*(1+Assumptions!$B$27)^0-(Model!$L7*Assumptions!$B$28*(1+Candidates!$K7)^0)*Assumptions!$B$22-(Model!$L7*Assumptions!$B$28*(1+Candidates!$K7)^0)*Model!$P7*(Assumptions!$B$19-Assumptions!$B$22)</f>
        <v>-0.838676910978661</v>
      </c>
      <c r="C7" s="13" t="n">
        <f aca="false">(Model!$L7*Assumptions!$B$29*(1+Candidates!$K7)^1)*Assumptions!$B$19-Model!$R7*(1+Assumptions!$B$26)^1-(Assumptions!$B$20+Assumptions!$B$21)/10^7*(1+Assumptions!$B$27)^1-(Model!$L7*Assumptions!$B$29*(1+Candidates!$K7)^1)*Assumptions!$B$22-(Model!$L7*Assumptions!$B$29*(1+Candidates!$K7)^1)*Model!$P7*(Assumptions!$B$19-Assumptions!$B$22)</f>
        <v>-0.171213829821192</v>
      </c>
      <c r="D7" s="13" t="n">
        <f aca="false">(Model!$L7*Assumptions!$B$30*(1+Candidates!$K7)^2)*Assumptions!$B$19-Model!$R7*(1+Assumptions!$B$26)^2-(Assumptions!$B$20+Assumptions!$B$21)/10^7*(1+Assumptions!$B$27)^2-(Model!$L7*Assumptions!$B$30*(1+Candidates!$K7)^2)*Assumptions!$B$22-(Model!$L7*Assumptions!$B$30*(1+Candidates!$K7)^2)*Model!$P7*(Assumptions!$B$19-Assumptions!$B$22)</f>
        <v>0.183563865208609</v>
      </c>
      <c r="E7" s="13" t="n">
        <f aca="false">(Model!$L7*Assumptions!$B$30*(1+Candidates!$K7)^3)*Assumptions!$B$19-Model!$R7*(1+Assumptions!$B$26)^3-(Assumptions!$B$20+Assumptions!$B$21)/10^7*(1+Assumptions!$B$27)^3-(Model!$L7*Assumptions!$B$30*(1+Candidates!$K7)^3)*Assumptions!$B$22-(Model!$L7*Assumptions!$B$30*(1+Candidates!$K7)^3)*Model!$P7*(Assumptions!$B$19-Assumptions!$B$22)</f>
        <v>0.17364085846904</v>
      </c>
      <c r="F7" s="13" t="n">
        <f aca="false">(Model!$L7*Assumptions!$B$30*(1+Candidates!$K7)^4)*Assumptions!$B$19-Model!$R7*(1+Assumptions!$B$26)^4-(Assumptions!$B$20+Assumptions!$B$21)/10^7*(1+Assumptions!$B$27)^4-(Model!$L7*Assumptions!$B$30*(1+Candidates!$K7)^4)*Assumptions!$B$22-(Model!$L7*Assumptions!$B$30*(1+Candidates!$K7)^4)*Model!$P7*(Assumptions!$B$19-Assumptions!$B$22)</f>
        <v>0.162075629392492</v>
      </c>
      <c r="G7" s="13" t="n">
        <f aca="false">(Model!$L7*Assumptions!$B$30*(1+Candidates!$K7)^5)*Assumptions!$B$19-Model!$R7*(1+Assumptions!$B$26)^5-(Assumptions!$B$20+Assumptions!$B$21)/10^7*(1+Assumptions!$B$27)^5-(Model!$L7*Assumptions!$B$30*(1+Candidates!$K7)^5)*Assumptions!$B$22-(Model!$L7*Assumptions!$B$30*(1+Candidates!$K7)^5)*Model!$P7*(Assumptions!$B$19-Assumptions!$B$22)</f>
        <v>0.148717302542116</v>
      </c>
      <c r="H7" s="13" t="n">
        <f aca="false">(Model!$L7*Assumptions!$B$30*(1+Candidates!$K7)^6)*Assumptions!$B$19-Model!$R7*(1+Assumptions!$B$26)^6-(Assumptions!$B$20+Assumptions!$B$21)/10^7*(1+Assumptions!$B$27)^6-(Model!$L7*Assumptions!$B$30*(1+Candidates!$K7)^6)*Assumptions!$B$22-(Model!$L7*Assumptions!$B$30*(1+Candidates!$K7)^6)*Model!$P7*(Assumptions!$B$19-Assumptions!$B$22)</f>
        <v>0.133403332850021</v>
      </c>
      <c r="I7" s="13" t="n">
        <f aca="false">(Model!$L7*Assumptions!$B$30*(1+Candidates!$K7)^7)*Assumptions!$B$19-Model!$R7*(1+Assumptions!$B$26)^7-(Assumptions!$B$20+Assumptions!$B$21)/10^7*(1+Assumptions!$B$27)^7-(Model!$L7*Assumptions!$B$30*(1+Candidates!$K7)^7)*Assumptions!$B$22-(Model!$L7*Assumptions!$B$30*(1+Candidates!$K7)^7)*Model!$P7*(Assumptions!$B$19-Assumptions!$B$22)</f>
        <v>0.115958674584169</v>
      </c>
      <c r="J7" s="13" t="n">
        <f aca="false">(Model!$L7*Assumptions!$B$30*(1+Candidates!$K7)^8)*Assumptions!$B$19-Model!$R7*(1+Assumptions!$B$26)^8-(Assumptions!$B$20+Assumptions!$B$21)/10^7*(1+Assumptions!$B$27)^8-(Model!$L7*Assumptions!$B$30*(1+Candidates!$K7)^8)*Assumptions!$B$22-(Model!$L7*Assumptions!$B$30*(1+Candidates!$K7)^8)*Model!$P7*(Assumptions!$B$19-Assumptions!$B$22)</f>
        <v>0.0961948939105282</v>
      </c>
      <c r="K7" s="13" t="n">
        <f aca="false">NPV(Assumptions!$B$31,B7:J7)</f>
        <v>-0.33512187088995</v>
      </c>
      <c r="L7" s="38" t="n">
        <f aca="false">K7-Model!W7</f>
        <v>-4.11512187088995</v>
      </c>
    </row>
    <row r="8" customFormat="false" ht="15" hidden="false" customHeight="false" outlineLevel="0" collapsed="false">
      <c r="A8" s="34" t="str">
        <f aca="false">Candidates!A8</f>
        <v>Sarjapur Road</v>
      </c>
      <c r="B8" s="13" t="n">
        <f aca="false">(Model!$L8*Assumptions!$B$28*(1+Candidates!$K8)^0)*Assumptions!$B$19-Model!$R8*(1+Assumptions!$B$26)^0-(Assumptions!$B$20+Assumptions!$B$21)/10^7*(1+Assumptions!$B$27)^0-(Model!$L8*Assumptions!$B$28*(1+Candidates!$K8)^0)*Assumptions!$B$22-(Model!$L8*Assumptions!$B$28*(1+Candidates!$K8)^0)*Model!$P8*(Assumptions!$B$19-Assumptions!$B$22)</f>
        <v>-0.110243036621152</v>
      </c>
      <c r="C8" s="13" t="n">
        <f aca="false">(Model!$L8*Assumptions!$B$29*(1+Candidates!$K8)^1)*Assumptions!$B$19-Model!$R8*(1+Assumptions!$B$26)^1-(Assumptions!$B$20+Assumptions!$B$21)/10^7*(1+Assumptions!$B$27)^1-(Model!$L8*Assumptions!$B$29*(1+Candidates!$K8)^1)*Assumptions!$B$22-(Model!$L8*Assumptions!$B$29*(1+Candidates!$K8)^1)*Model!$P8*(Assumptions!$B$19-Assumptions!$B$22)</f>
        <v>0.756365651048328</v>
      </c>
      <c r="D8" s="13" t="n">
        <f aca="false">(Model!$L8*Assumptions!$B$30*(1+Candidates!$K8)^2)*Assumptions!$B$19-Model!$R8*(1+Assumptions!$B$26)^2-(Assumptions!$B$20+Assumptions!$B$21)/10^7*(1+Assumptions!$B$27)^2-(Model!$L8*Assumptions!$B$30*(1+Candidates!$K8)^2)*Assumptions!$B$22-(Model!$L8*Assumptions!$B$30*(1+Candidates!$K8)^2)*Model!$P8*(Assumptions!$B$19-Assumptions!$B$22)</f>
        <v>1.29774249624635</v>
      </c>
      <c r="E8" s="13" t="n">
        <f aca="false">(Model!$L8*Assumptions!$B$30*(1+Candidates!$K8)^3)*Assumptions!$B$19-Model!$R8*(1+Assumptions!$B$26)^3-(Assumptions!$B$20+Assumptions!$B$21)/10^7*(1+Assumptions!$B$27)^3-(Model!$L8*Assumptions!$B$30*(1+Candidates!$K8)^3)*Assumptions!$B$22-(Model!$L8*Assumptions!$B$30*(1+Candidates!$K8)^3)*Model!$P8*(Assumptions!$B$19-Assumptions!$B$22)</f>
        <v>1.43282267098359</v>
      </c>
      <c r="F8" s="13" t="n">
        <f aca="false">(Model!$L8*Assumptions!$B$30*(1+Candidates!$K8)^4)*Assumptions!$B$19-Model!$R8*(1+Assumptions!$B$26)^4-(Assumptions!$B$20+Assumptions!$B$21)/10^7*(1+Assumptions!$B$27)^4-(Model!$L8*Assumptions!$B$30*(1+Candidates!$K8)^4)*Assumptions!$B$22-(Model!$L8*Assumptions!$B$30*(1+Candidates!$K8)^4)*Model!$P8*(Assumptions!$B$19-Assumptions!$B$22)</f>
        <v>1.57976137995244</v>
      </c>
      <c r="G8" s="13" t="n">
        <f aca="false">(Model!$L8*Assumptions!$B$30*(1+Candidates!$K8)^5)*Assumptions!$B$19-Model!$R8*(1+Assumptions!$B$26)^5-(Assumptions!$B$20+Assumptions!$B$21)/10^7*(1+Assumptions!$B$27)^5-(Model!$L8*Assumptions!$B$30*(1+Candidates!$K8)^5)*Assumptions!$B$22-(Model!$L8*Assumptions!$B$30*(1+Candidates!$K8)^5)*Model!$P8*(Assumptions!$B$19-Assumptions!$B$22)</f>
        <v>1.73952032736911</v>
      </c>
      <c r="H8" s="13" t="n">
        <f aca="false">(Model!$L8*Assumptions!$B$30*(1+Candidates!$K8)^6)*Assumptions!$B$19-Model!$R8*(1+Assumptions!$B$26)^6-(Assumptions!$B$20+Assumptions!$B$21)/10^7*(1+Assumptions!$B$27)^6-(Model!$L8*Assumptions!$B$30*(1+Candidates!$K8)^6)*Assumptions!$B$22-(Model!$L8*Assumptions!$B$30*(1+Candidates!$K8)^6)*Model!$P8*(Assumptions!$B$19-Assumptions!$B$22)</f>
        <v>1.91313580472915</v>
      </c>
      <c r="I8" s="13" t="n">
        <f aca="false">(Model!$L8*Assumptions!$B$30*(1+Candidates!$K8)^7)*Assumptions!$B$19-Model!$R8*(1+Assumptions!$B$26)^7-(Assumptions!$B$20+Assumptions!$B$21)/10^7*(1+Assumptions!$B$27)^7-(Model!$L8*Assumptions!$B$30*(1+Candidates!$K8)^7)*Assumptions!$B$22-(Model!$L8*Assumptions!$B$30*(1+Candidates!$K8)^7)*Model!$P8*(Assumptions!$B$19-Assumptions!$B$22)</f>
        <v>2.10172431657479</v>
      </c>
      <c r="J8" s="13" t="n">
        <f aca="false">(Model!$L8*Assumptions!$B$30*(1+Candidates!$K8)^8)*Assumptions!$B$19-Model!$R8*(1+Assumptions!$B$26)^8-(Assumptions!$B$20+Assumptions!$B$21)/10^7*(1+Assumptions!$B$27)^8-(Model!$L8*Assumptions!$B$30*(1+Candidates!$K8)^8)*Assumptions!$B$22-(Model!$L8*Assumptions!$B$30*(1+Candidates!$K8)^8)*Model!$P8*(Assumptions!$B$19-Assumptions!$B$22)</f>
        <v>2.30648862277445</v>
      </c>
      <c r="K8" s="13" t="n">
        <f aca="false">NPV(Assumptions!$B$31,B8:J8)</f>
        <v>6.66252473730212</v>
      </c>
      <c r="L8" s="38" t="n">
        <f aca="false">K8-Model!W8</f>
        <v>3.09252473730212</v>
      </c>
    </row>
    <row r="9" customFormat="false" ht="15" hidden="false" customHeight="false" outlineLevel="0" collapsed="false">
      <c r="A9" s="34" t="str">
        <f aca="false">Candidates!A9</f>
        <v>Hebbal</v>
      </c>
      <c r="B9" s="13" t="n">
        <f aca="false">(Model!$L9*Assumptions!$B$28*(1+Candidates!$K9)^0)*Assumptions!$B$19-Model!$R9*(1+Assumptions!$B$26)^0-(Assumptions!$B$20+Assumptions!$B$21)/10^7*(1+Assumptions!$B$27)^0-(Model!$L9*Assumptions!$B$28*(1+Candidates!$K9)^0)*Assumptions!$B$22-(Model!$L9*Assumptions!$B$28*(1+Candidates!$K9)^0)*Model!$P9*(Assumptions!$B$19-Assumptions!$B$22)</f>
        <v>-0.575735620678504</v>
      </c>
      <c r="C9" s="13" t="n">
        <f aca="false">(Model!$L9*Assumptions!$B$29*(1+Candidates!$K9)^1)*Assumptions!$B$19-Model!$R9*(1+Assumptions!$B$26)^1-(Assumptions!$B$20+Assumptions!$B$21)/10^7*(1+Assumptions!$B$27)^1-(Model!$L9*Assumptions!$B$29*(1+Candidates!$K9)^1)*Assumptions!$B$22-(Model!$L9*Assumptions!$B$29*(1+Candidates!$K9)^1)*Model!$P9*(Assumptions!$B$19-Assumptions!$B$22)</f>
        <v>0.114787798635601</v>
      </c>
      <c r="D9" s="13" t="n">
        <f aca="false">(Model!$L9*Assumptions!$B$30*(1+Candidates!$K9)^2)*Assumptions!$B$19-Model!$R9*(1+Assumptions!$B$26)^2-(Assumptions!$B$20+Assumptions!$B$21)/10^7*(1+Assumptions!$B$27)^2-(Model!$L9*Assumptions!$B$30*(1+Candidates!$K9)^2)*Assumptions!$B$22-(Model!$L9*Assumptions!$B$30*(1+Candidates!$K9)^2)*Model!$P9*(Assumptions!$B$19-Assumptions!$B$22)</f>
        <v>0.464434789534472</v>
      </c>
      <c r="E9" s="13" t="n">
        <f aca="false">(Model!$L9*Assumptions!$B$30*(1+Candidates!$K9)^3)*Assumptions!$B$19-Model!$R9*(1+Assumptions!$B$26)^3-(Assumptions!$B$20+Assumptions!$B$21)/10^7*(1+Assumptions!$B$27)^3-(Model!$L9*Assumptions!$B$30*(1+Candidates!$K9)^3)*Assumptions!$B$22-(Model!$L9*Assumptions!$B$30*(1+Candidates!$K9)^3)*Model!$P9*(Assumptions!$B$19-Assumptions!$B$22)</f>
        <v>0.428933781115851</v>
      </c>
      <c r="F9" s="13" t="n">
        <f aca="false">(Model!$L9*Assumptions!$B$30*(1+Candidates!$K9)^4)*Assumptions!$B$19-Model!$R9*(1+Assumptions!$B$26)^4-(Assumptions!$B$20+Assumptions!$B$21)/10^7*(1+Assumptions!$B$27)^4-(Model!$L9*Assumptions!$B$30*(1+Candidates!$K9)^4)*Assumptions!$B$22-(Model!$L9*Assumptions!$B$30*(1+Candidates!$K9)^4)*Model!$P9*(Assumptions!$B$19-Assumptions!$B$22)</f>
        <v>0.388926788360485</v>
      </c>
      <c r="G9" s="13" t="n">
        <f aca="false">(Model!$L9*Assumptions!$B$30*(1+Candidates!$K9)^5)*Assumptions!$B$19-Model!$R9*(1+Assumptions!$B$26)^5-(Assumptions!$B$20+Assumptions!$B$21)/10^7*(1+Assumptions!$B$27)^5-(Model!$L9*Assumptions!$B$30*(1+Candidates!$K9)^5)*Assumptions!$B$22-(Model!$L9*Assumptions!$B$30*(1+Candidates!$K9)^5)*Model!$P9*(Assumptions!$B$19-Assumptions!$B$22)</f>
        <v>0.344056353254903</v>
      </c>
      <c r="H9" s="13" t="n">
        <f aca="false">(Model!$L9*Assumptions!$B$30*(1+Candidates!$K9)^6)*Assumptions!$B$19-Model!$R9*(1+Assumptions!$B$26)^6-(Assumptions!$B$20+Assumptions!$B$21)/10^7*(1+Assumptions!$B$27)^6-(Model!$L9*Assumptions!$B$30*(1+Candidates!$K9)^6)*Assumptions!$B$22-(Model!$L9*Assumptions!$B$30*(1+Candidates!$K9)^6)*Model!$P9*(Assumptions!$B$19-Assumptions!$B$22)</f>
        <v>0.293940483246701</v>
      </c>
      <c r="I9" s="13" t="n">
        <f aca="false">(Model!$L9*Assumptions!$B$30*(1+Candidates!$K9)^7)*Assumptions!$B$19-Model!$R9*(1+Assumptions!$B$26)^7-(Assumptions!$B$20+Assumptions!$B$21)/10^7*(1+Assumptions!$B$27)^7-(Model!$L9*Assumptions!$B$30*(1+Candidates!$K9)^7)*Assumptions!$B$22-(Model!$L9*Assumptions!$B$30*(1+Candidates!$K9)^7)*Model!$P9*(Assumptions!$B$19-Assumptions!$B$22)</f>
        <v>0.238171075534864</v>
      </c>
      <c r="J9" s="13" t="n">
        <f aca="false">(Model!$L9*Assumptions!$B$30*(1+Candidates!$K9)^8)*Assumptions!$B$19-Model!$R9*(1+Assumptions!$B$26)^8-(Assumptions!$B$20+Assumptions!$B$21)/10^7*(1+Assumptions!$B$27)^8-(Model!$L9*Assumptions!$B$30*(1+Candidates!$K9)^8)*Assumptions!$B$22-(Model!$L9*Assumptions!$B$30*(1+Candidates!$K9)^8)*Model!$P9*(Assumptions!$B$19-Assumptions!$B$22)</f>
        <v>0.176312243664302</v>
      </c>
      <c r="K9" s="13" t="n">
        <f aca="false">NPV(Assumptions!$B$31,B9:J9)</f>
        <v>0.868363323860355</v>
      </c>
      <c r="L9" s="38" t="n">
        <f aca="false">K9-Model!W9</f>
        <v>-2.85163667613964</v>
      </c>
    </row>
    <row r="10" customFormat="false" ht="15" hidden="false" customHeight="false" outlineLevel="0" collapsed="false">
      <c r="A10" s="34" t="str">
        <f aca="false">Candidates!A10</f>
        <v>Electronic City</v>
      </c>
      <c r="B10" s="13" t="n">
        <f aca="false">(Model!$L10*Assumptions!$B$28*(1+Candidates!$K10)^0)*Assumptions!$B$19-Model!$R10*(1+Assumptions!$B$26)^0-(Assumptions!$B$20+Assumptions!$B$21)/10^7*(1+Assumptions!$B$27)^0-(Model!$L10*Assumptions!$B$28*(1+Candidates!$K10)^0)*Assumptions!$B$22-(Model!$L10*Assumptions!$B$28*(1+Candidates!$K10)^0)*Model!$P10*(Assumptions!$B$19-Assumptions!$B$22)</f>
        <v>-0.0733895886824205</v>
      </c>
      <c r="C10" s="13" t="n">
        <f aca="false">(Model!$L10*Assumptions!$B$29*(1+Candidates!$K10)^1)*Assumptions!$B$19-Model!$R10*(1+Assumptions!$B$26)^1-(Assumptions!$B$20+Assumptions!$B$21)/10^7*(1+Assumptions!$B$27)^1-(Model!$L10*Assumptions!$B$29*(1+Candidates!$K10)^1)*Assumptions!$B$22-(Model!$L10*Assumptions!$B$29*(1+Candidates!$K10)^1)*Model!$P10*(Assumptions!$B$19-Assumptions!$B$22)</f>
        <v>0.663924055278732</v>
      </c>
      <c r="D10" s="13" t="n">
        <f aca="false">(Model!$L10*Assumptions!$B$30*(1+Candidates!$K10)^2)*Assumptions!$B$19-Model!$R10*(1+Assumptions!$B$26)^2-(Assumptions!$B$20+Assumptions!$B$21)/10^7*(1+Assumptions!$B$27)^2-(Model!$L10*Assumptions!$B$30*(1+Candidates!$K10)^2)*Assumptions!$B$22-(Model!$L10*Assumptions!$B$30*(1+Candidates!$K10)^2)*Model!$P10*(Assumptions!$B$19-Assumptions!$B$22)</f>
        <v>1.07704139782519</v>
      </c>
      <c r="E10" s="13" t="n">
        <f aca="false">(Model!$L10*Assumptions!$B$30*(1+Candidates!$K10)^3)*Assumptions!$B$19-Model!$R10*(1+Assumptions!$B$26)^3-(Assumptions!$B$20+Assumptions!$B$21)/10^7*(1+Assumptions!$B$27)^3-(Model!$L10*Assumptions!$B$30*(1+Candidates!$K10)^3)*Assumptions!$B$22-(Model!$L10*Assumptions!$B$30*(1+Candidates!$K10)^3)*Model!$P10*(Assumptions!$B$19-Assumptions!$B$22)</f>
        <v>1.11179226771645</v>
      </c>
      <c r="F10" s="13" t="n">
        <f aca="false">(Model!$L10*Assumptions!$B$30*(1+Candidates!$K10)^4)*Assumptions!$B$19-Model!$R10*(1+Assumptions!$B$26)^4-(Assumptions!$B$20+Assumptions!$B$21)/10^7*(1+Assumptions!$B$27)^4-(Model!$L10*Assumptions!$B$30*(1+Candidates!$K10)^4)*Assumptions!$B$22-(Model!$L10*Assumptions!$B$30*(1+Candidates!$K10)^4)*Model!$P10*(Assumptions!$B$19-Assumptions!$B$22)</f>
        <v>1.14713460910227</v>
      </c>
      <c r="G10" s="13" t="n">
        <f aca="false">(Model!$L10*Assumptions!$B$30*(1+Candidates!$K10)^5)*Assumptions!$B$19-Model!$R10*(1+Assumptions!$B$26)^5-(Assumptions!$B$20+Assumptions!$B$21)/10^7*(1+Assumptions!$B$27)^5-(Model!$L10*Assumptions!$B$30*(1+Candidates!$K10)^5)*Assumptions!$B$22-(Model!$L10*Assumptions!$B$30*(1+Candidates!$K10)^5)*Model!$P10*(Assumptions!$B$19-Assumptions!$B$22)</f>
        <v>1.18302923123738</v>
      </c>
      <c r="H10" s="13" t="n">
        <f aca="false">(Model!$L10*Assumptions!$B$30*(1+Candidates!$K10)^6)*Assumptions!$B$19-Model!$R10*(1+Assumptions!$B$26)^6-(Assumptions!$B$20+Assumptions!$B$21)/10^7*(1+Assumptions!$B$27)^6-(Model!$L10*Assumptions!$B$30*(1+Candidates!$K10)^6)*Assumptions!$B$22-(Model!$L10*Assumptions!$B$30*(1+Candidates!$K10)^6)*Model!$P10*(Assumptions!$B$19-Assumptions!$B$22)</f>
        <v>1.21943085798005</v>
      </c>
      <c r="I10" s="13" t="n">
        <f aca="false">(Model!$L10*Assumptions!$B$30*(1+Candidates!$K10)^7)*Assumptions!$B$19-Model!$R10*(1+Assumptions!$B$26)^7-(Assumptions!$B$20+Assumptions!$B$21)/10^7*(1+Assumptions!$B$27)^7-(Model!$L10*Assumptions!$B$30*(1+Candidates!$K10)^7)*Assumptions!$B$22-(Model!$L10*Assumptions!$B$30*(1+Candidates!$K10)^7)*Model!$P10*(Assumptions!$B$19-Assumptions!$B$22)</f>
        <v>1.2562875759707</v>
      </c>
      <c r="J10" s="13" t="n">
        <f aca="false">(Model!$L10*Assumptions!$B$30*(1+Candidates!$K10)^8)*Assumptions!$B$19-Model!$R10*(1+Assumptions!$B$26)^8-(Assumptions!$B$20+Assumptions!$B$21)/10^7*(1+Assumptions!$B$27)^8-(Model!$L10*Assumptions!$B$30*(1+Candidates!$K10)^8)*Assumptions!$B$22-(Model!$L10*Assumptions!$B$30*(1+Candidates!$K10)^8)*Model!$P10*(Assumptions!$B$19-Assumptions!$B$22)</f>
        <v>1.29354024036638</v>
      </c>
      <c r="K10" s="13" t="n">
        <f aca="false">NPV(Assumptions!$B$31,B10:J10)</f>
        <v>4.71267071392215</v>
      </c>
      <c r="L10" s="38" t="n">
        <f aca="false">K10-Model!W10</f>
        <v>1.26267071392214</v>
      </c>
    </row>
    <row r="11" customFormat="false" ht="15" hidden="false" customHeight="false" outlineLevel="0" collapsed="false">
      <c r="A11" s="34" t="str">
        <f aca="false">Candidates!A11</f>
        <v>Kanakapura Road</v>
      </c>
      <c r="B11" s="13" t="n">
        <f aca="false">(Model!$L11*Assumptions!$B$28*(1+Candidates!$K11)^0)*Assumptions!$B$19-Model!$R11*(1+Assumptions!$B$26)^0-(Assumptions!$B$20+Assumptions!$B$21)/10^7*(1+Assumptions!$B$27)^0-(Model!$L11*Assumptions!$B$28*(1+Candidates!$K11)^0)*Assumptions!$B$22-(Model!$L11*Assumptions!$B$28*(1+Candidates!$K11)^0)*Model!$P11*(Assumptions!$B$19-Assumptions!$B$22)</f>
        <v>0.451835466260801</v>
      </c>
      <c r="C11" s="13" t="n">
        <f aca="false">(Model!$L11*Assumptions!$B$29*(1+Candidates!$K11)^1)*Assumptions!$B$19-Model!$R11*(1+Assumptions!$B$26)^1-(Assumptions!$B$20+Assumptions!$B$21)/10^7*(1+Assumptions!$B$27)^1-(Model!$L11*Assumptions!$B$29*(1+Candidates!$K11)^1)*Assumptions!$B$22-(Model!$L11*Assumptions!$B$29*(1+Candidates!$K11)^1)*Model!$P11*(Assumptions!$B$19-Assumptions!$B$22)</f>
        <v>1.35582539316376</v>
      </c>
      <c r="D11" s="13" t="n">
        <f aca="false">(Model!$L11*Assumptions!$B$30*(1+Candidates!$K11)^2)*Assumptions!$B$19-Model!$R11*(1+Assumptions!$B$26)^2-(Assumptions!$B$20+Assumptions!$B$21)/10^7*(1+Assumptions!$B$27)^2-(Model!$L11*Assumptions!$B$30*(1+Candidates!$K11)^2)*Assumptions!$B$22-(Model!$L11*Assumptions!$B$30*(1+Candidates!$K11)^2)*Model!$P11*(Assumptions!$B$19-Assumptions!$B$22)</f>
        <v>1.89165309976418</v>
      </c>
      <c r="E11" s="13" t="n">
        <f aca="false">(Model!$L11*Assumptions!$B$30*(1+Candidates!$K11)^3)*Assumptions!$B$19-Model!$R11*(1+Assumptions!$B$26)^3-(Assumptions!$B$20+Assumptions!$B$21)/10^7*(1+Assumptions!$B$27)^3-(Model!$L11*Assumptions!$B$30*(1+Candidates!$K11)^3)*Assumptions!$B$22-(Model!$L11*Assumptions!$B$30*(1+Candidates!$K11)^3)*Model!$P11*(Assumptions!$B$19-Assumptions!$B$22)</f>
        <v>1.99044317025121</v>
      </c>
      <c r="F11" s="13" t="n">
        <f aca="false">(Model!$L11*Assumptions!$B$30*(1+Candidates!$K11)^4)*Assumptions!$B$19-Model!$R11*(1+Assumptions!$B$26)^4-(Assumptions!$B$20+Assumptions!$B$21)/10^7*(1+Assumptions!$B$27)^4-(Model!$L11*Assumptions!$B$30*(1+Candidates!$K11)^4)*Assumptions!$B$22-(Model!$L11*Assumptions!$B$30*(1+Candidates!$K11)^4)*Model!$P11*(Assumptions!$B$19-Assumptions!$B$22)</f>
        <v>2.09430864611503</v>
      </c>
      <c r="G11" s="13" t="n">
        <f aca="false">(Model!$L11*Assumptions!$B$30*(1+Candidates!$K11)^5)*Assumptions!$B$19-Model!$R11*(1+Assumptions!$B$26)^5-(Assumptions!$B$20+Assumptions!$B$21)/10^7*(1+Assumptions!$B$27)^5-(Model!$L11*Assumptions!$B$30*(1+Candidates!$K11)^5)*Assumptions!$B$22-(Model!$L11*Assumptions!$B$30*(1+Candidates!$K11)^5)*Model!$P11*(Assumptions!$B$19-Assumptions!$B$22)</f>
        <v>2.20350504186636</v>
      </c>
      <c r="H11" s="13" t="n">
        <f aca="false">(Model!$L11*Assumptions!$B$30*(1+Candidates!$K11)^6)*Assumptions!$B$19-Model!$R11*(1+Assumptions!$B$26)^6-(Assumptions!$B$20+Assumptions!$B$21)/10^7*(1+Assumptions!$B$27)^6-(Model!$L11*Assumptions!$B$30*(1+Candidates!$K11)^6)*Assumptions!$B$22-(Model!$L11*Assumptions!$B$30*(1+Candidates!$K11)^6)*Model!$P11*(Assumptions!$B$19-Assumptions!$B$22)</f>
        <v>2.31830039985315</v>
      </c>
      <c r="I11" s="13" t="n">
        <f aca="false">(Model!$L11*Assumptions!$B$30*(1+Candidates!$K11)^7)*Assumptions!$B$19-Model!$R11*(1+Assumptions!$B$26)^7-(Assumptions!$B$20+Assumptions!$B$21)/10^7*(1+Assumptions!$B$27)^7-(Model!$L11*Assumptions!$B$30*(1+Candidates!$K11)^7)*Assumptions!$B$22-(Model!$L11*Assumptions!$B$30*(1+Candidates!$K11)^7)*Model!$P11*(Assumptions!$B$19-Assumptions!$B$22)</f>
        <v>2.43897588238934</v>
      </c>
      <c r="J11" s="13" t="n">
        <f aca="false">(Model!$L11*Assumptions!$B$30*(1+Candidates!$K11)^8)*Assumptions!$B$19-Model!$R11*(1+Assumptions!$B$26)^8-(Assumptions!$B$20+Assumptions!$B$21)/10^7*(1+Assumptions!$B$27)^8-(Model!$L11*Assumptions!$B$30*(1+Candidates!$K11)^8)*Assumptions!$B$22-(Model!$L11*Assumptions!$B$30*(1+Candidates!$K11)^8)*Model!$P11*(Assumptions!$B$19-Assumptions!$B$22)</f>
        <v>2.56582639036769</v>
      </c>
      <c r="K11" s="13" t="n">
        <f aca="false">NPV(Assumptions!$B$31,B11:J11)</f>
        <v>9.35942089447559</v>
      </c>
      <c r="L11" s="38" t="n">
        <f aca="false">K11-Model!W11</f>
        <v>5.96942089447559</v>
      </c>
    </row>
    <row r="12" customFormat="false" ht="15" hidden="false" customHeight="false" outlineLevel="0" collapsed="false">
      <c r="A12" s="34" t="str">
        <f aca="false">Candidates!A12</f>
        <v>Yelahanka</v>
      </c>
      <c r="B12" s="13" t="n">
        <f aca="false">(Model!$L12*Assumptions!$B$28*(1+Candidates!$K12)^0)*Assumptions!$B$19-Model!$R12*(1+Assumptions!$B$26)^0-(Assumptions!$B$20+Assumptions!$B$21)/10^7*(1+Assumptions!$B$27)^0-(Model!$L12*Assumptions!$B$28*(1+Candidates!$K12)^0)*Assumptions!$B$22-(Model!$L12*Assumptions!$B$28*(1+Candidates!$K12)^0)*Model!$P12*(Assumptions!$B$19-Assumptions!$B$22)</f>
        <v>-0.319104664702717</v>
      </c>
      <c r="C12" s="13" t="n">
        <f aca="false">(Model!$L12*Assumptions!$B$29*(1+Candidates!$K12)^1)*Assumptions!$B$19-Model!$R12*(1+Assumptions!$B$26)^1-(Assumptions!$B$20+Assumptions!$B$21)/10^7*(1+Assumptions!$B$27)^1-(Model!$L12*Assumptions!$B$29*(1+Candidates!$K12)^1)*Assumptions!$B$22-(Model!$L12*Assumptions!$B$29*(1+Candidates!$K12)^1)*Model!$P12*(Assumptions!$B$19-Assumptions!$B$22)</f>
        <v>0.299931518352992</v>
      </c>
      <c r="D12" s="13" t="n">
        <f aca="false">(Model!$L12*Assumptions!$B$30*(1+Candidates!$K12)^2)*Assumptions!$B$19-Model!$R12*(1+Assumptions!$B$26)^2-(Assumptions!$B$20+Assumptions!$B$21)/10^7*(1+Assumptions!$B$27)^2-(Model!$L12*Assumptions!$B$30*(1+Candidates!$K12)^2)*Assumptions!$B$22-(Model!$L12*Assumptions!$B$30*(1+Candidates!$K12)^2)*Model!$P12*(Assumptions!$B$19-Assumptions!$B$22)</f>
        <v>0.628456040754306</v>
      </c>
      <c r="E12" s="13" t="n">
        <f aca="false">(Model!$L12*Assumptions!$B$30*(1+Candidates!$K12)^3)*Assumptions!$B$19-Model!$R12*(1+Assumptions!$B$26)^3-(Assumptions!$B$20+Assumptions!$B$21)/10^7*(1+Assumptions!$B$27)^3-(Model!$L12*Assumptions!$B$30*(1+Candidates!$K12)^3)*Assumptions!$B$22-(Model!$L12*Assumptions!$B$30*(1+Candidates!$K12)^3)*Model!$P12*(Assumptions!$B$19-Assumptions!$B$22)</f>
        <v>0.62345426258825</v>
      </c>
      <c r="F12" s="13" t="n">
        <f aca="false">(Model!$L12*Assumptions!$B$30*(1+Candidates!$K12)^4)*Assumptions!$B$19-Model!$R12*(1+Assumptions!$B$26)^4-(Assumptions!$B$20+Assumptions!$B$21)/10^7*(1+Assumptions!$B$27)^4-(Model!$L12*Assumptions!$B$30*(1+Candidates!$K12)^4)*Assumptions!$B$22-(Model!$L12*Assumptions!$B$30*(1+Candidates!$K12)^4)*Model!$P12*(Assumptions!$B$19-Assumptions!$B$22)</f>
        <v>0.616276771404721</v>
      </c>
      <c r="G12" s="13" t="n">
        <f aca="false">(Model!$L12*Assumptions!$B$30*(1+Candidates!$K12)^5)*Assumptions!$B$19-Model!$R12*(1+Assumptions!$B$26)^5-(Assumptions!$B$20+Assumptions!$B$21)/10^7*(1+Assumptions!$B$27)^5-(Model!$L12*Assumptions!$B$30*(1+Candidates!$K12)^5)*Assumptions!$B$22-(Model!$L12*Assumptions!$B$30*(1+Candidates!$K12)^5)*Model!$P12*(Assumptions!$B$19-Assumptions!$B$22)</f>
        <v>0.606710937387933</v>
      </c>
      <c r="H12" s="13" t="n">
        <f aca="false">(Model!$L12*Assumptions!$B$30*(1+Candidates!$K12)^6)*Assumptions!$B$19-Model!$R12*(1+Assumptions!$B$26)^6-(Assumptions!$B$20+Assumptions!$B$21)/10^7*(1+Assumptions!$B$27)^6-(Model!$L12*Assumptions!$B$30*(1+Candidates!$K12)^6)*Assumptions!$B$22-(Model!$L12*Assumptions!$B$30*(1+Candidates!$K12)^6)*Model!$P12*(Assumptions!$B$19-Assumptions!$B$22)</f>
        <v>0.594527794779091</v>
      </c>
      <c r="I12" s="13" t="n">
        <f aca="false">(Model!$L12*Assumptions!$B$30*(1+Candidates!$K12)^7)*Assumptions!$B$19-Model!$R12*(1+Assumptions!$B$26)^7-(Assumptions!$B$20+Assumptions!$B$21)/10^7*(1+Assumptions!$B$27)^7-(Model!$L12*Assumptions!$B$30*(1+Candidates!$K12)^7)*Assumptions!$B$22-(Model!$L12*Assumptions!$B$30*(1+Candidates!$K12)^7)*Model!$P12*(Assumptions!$B$19-Assumptions!$B$22)</f>
        <v>0.579480906490995</v>
      </c>
      <c r="J12" s="13" t="n">
        <f aca="false">(Model!$L12*Assumptions!$B$30*(1+Candidates!$K12)^8)*Assumptions!$B$19-Model!$R12*(1+Assumptions!$B$26)^8-(Assumptions!$B$20+Assumptions!$B$21)/10^7*(1+Assumptions!$B$27)^8-(Model!$L12*Assumptions!$B$30*(1+Candidates!$K12)^8)*Assumptions!$B$22-(Model!$L12*Assumptions!$B$30*(1+Candidates!$K12)^8)*Model!$P12*(Assumptions!$B$19-Assumptions!$B$22)</f>
        <v>0.561305153903654</v>
      </c>
      <c r="K12" s="13" t="n">
        <f aca="false">NPV(Assumptions!$B$31,B12:J12)</f>
        <v>2.16018744146981</v>
      </c>
      <c r="L12" s="38" t="n">
        <f aca="false">K12-Model!W12</f>
        <v>-1.25981255853019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9" min="2" style="0" width="12"/>
    <col collapsed="false" customWidth="true" hidden="false" outlineLevel="0" max="21" min="20" style="0" width="22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3" customFormat="false" ht="15" hidden="false" customHeight="false" outlineLevel="0" collapsed="false">
      <c r="H3" s="5" t="s">
        <v>249</v>
      </c>
      <c r="I3" s="39" t="n">
        <f aca="false">Weights!$C$4</f>
        <v>0.2</v>
      </c>
      <c r="J3" s="39" t="n">
        <f aca="false">Weights!$C$5</f>
        <v>0.3</v>
      </c>
      <c r="K3" s="39" t="n">
        <f aca="false">Weights!$C$6</f>
        <v>0.1</v>
      </c>
      <c r="L3" s="39" t="n">
        <f aca="false">Weights!$C$7</f>
        <v>0.1</v>
      </c>
      <c r="M3" s="39" t="n">
        <f aca="false">Weights!$C$8</f>
        <v>0.1</v>
      </c>
      <c r="N3" s="39" t="n">
        <f aca="false">Weights!$C$9</f>
        <v>0.15</v>
      </c>
      <c r="O3" s="39" t="n">
        <f aca="false">Weights!$C$10</f>
        <v>0.05</v>
      </c>
    </row>
    <row r="4" customFormat="false" ht="45" hidden="false" customHeight="true" outlineLevel="0" collapsed="false">
      <c r="A4" s="10" t="s">
        <v>24</v>
      </c>
      <c r="B4" s="10" t="s">
        <v>250</v>
      </c>
      <c r="C4" s="10" t="s">
        <v>251</v>
      </c>
      <c r="D4" s="10" t="s">
        <v>252</v>
      </c>
      <c r="E4" s="10" t="s">
        <v>253</v>
      </c>
      <c r="F4" s="10" t="s">
        <v>254</v>
      </c>
      <c r="G4" s="10" t="s">
        <v>255</v>
      </c>
      <c r="H4" s="10" t="s">
        <v>256</v>
      </c>
      <c r="I4" s="10" t="s">
        <v>257</v>
      </c>
      <c r="J4" s="10" t="s">
        <v>258</v>
      </c>
      <c r="K4" s="10" t="s">
        <v>259</v>
      </c>
      <c r="L4" s="10" t="s">
        <v>260</v>
      </c>
      <c r="M4" s="10" t="s">
        <v>261</v>
      </c>
      <c r="N4" s="10" t="s">
        <v>262</v>
      </c>
      <c r="O4" s="10" t="s">
        <v>263</v>
      </c>
      <c r="P4" s="10" t="s">
        <v>25</v>
      </c>
      <c r="Q4" s="10" t="s">
        <v>264</v>
      </c>
      <c r="R4" s="10" t="s">
        <v>265</v>
      </c>
      <c r="S4" s="10" t="s">
        <v>23</v>
      </c>
      <c r="T4" s="10" t="s">
        <v>266</v>
      </c>
      <c r="U4" s="10" t="s">
        <v>267</v>
      </c>
    </row>
    <row r="5" customFormat="false" ht="15" hidden="false" customHeight="false" outlineLevel="0" collapsed="false">
      <c r="A5" s="34" t="str">
        <f aca="false">Candidates!A5</f>
        <v>Whitefield</v>
      </c>
      <c r="B5" s="36" t="n">
        <f aca="false">Model!L5</f>
        <v>30.6008447211971</v>
      </c>
      <c r="C5" s="8" t="n">
        <f aca="false">Model!Y5</f>
        <v>2.6849909087771</v>
      </c>
      <c r="D5" s="40" t="n">
        <f aca="false">Candidates!H5</f>
        <v>7</v>
      </c>
      <c r="E5" s="41" t="n">
        <f aca="false">Model!S5</f>
        <v>0.0568611754300596</v>
      </c>
      <c r="F5" s="40" t="n">
        <f aca="false">Candidates!J5</f>
        <v>8</v>
      </c>
      <c r="G5" s="39" t="n">
        <f aca="false">Model!P5</f>
        <v>0</v>
      </c>
      <c r="H5" s="41" t="n">
        <f aca="false">Candidates!K5</f>
        <v>0.045</v>
      </c>
      <c r="I5" s="42" t="n">
        <f aca="false">IF(MAX($B$5:$B$12)=MIN($B$5:$B$12),100,100*(B5-MIN($B$5:$B$12))/(MAX($B$5:$B$12)-MIN($B$5:$B$12)))</f>
        <v>100</v>
      </c>
      <c r="J5" s="42" t="n">
        <f aca="false">IF(MAX($C$5:$C$12)=MIN($C$5:$C$12),100,100*(C5-MIN($C$5:$C$12))/(MAX($C$5:$C$12)-MIN($C$5:$C$12)))</f>
        <v>75.0267609887261</v>
      </c>
      <c r="K5" s="42" t="n">
        <f aca="false">IF(MAX($D$5:$D$12)=MIN($D$5:$D$12),100,100*(MAX($D$5:$D$12)-D5)/(MAX($D$5:$D$12)-MIN($D$5:$D$12)))</f>
        <v>0</v>
      </c>
      <c r="L5" s="42" t="n">
        <f aca="false">IF(MAX($E$5:$E$12)=MIN($E$5:$E$12),100,100*(MAX($E$5:$E$12)-E5)/(MAX($E$5:$E$12)-MIN($E$5:$E$12)))</f>
        <v>44.2382655822849</v>
      </c>
      <c r="M5" s="42" t="n">
        <f aca="false">IF(MAX($F$5:$F$12)=MIN($F$5:$F$12),100,100*(F5-MIN($F$5:$F$12))/(MAX($F$5:$F$12)-MIN($F$5:$F$12)))</f>
        <v>100</v>
      </c>
      <c r="N5" s="42" t="n">
        <f aca="false">IF(MAX($G$5:$G$12)=MIN($G$5:$G$12),100,100*(MAX($G$5:$G$12)-G5)/(MAX($G$5:$G$12)-MIN($G$5:$G$12)))</f>
        <v>100</v>
      </c>
      <c r="O5" s="42" t="n">
        <f aca="false">IF(MAX($H$5:$H$12)=MIN($H$5:$H$12),100,100*(H5-MIN($H$5:$H$12))/(MAX($H$5:$H$12)-MIN($H$5:$H$12)))</f>
        <v>28.5714285714286</v>
      </c>
      <c r="P5" s="43" t="n">
        <f aca="false">SUMPRODUCT(I5:O5,$I$3:$O$3)</f>
        <v>73.3604262834177</v>
      </c>
      <c r="Q5" s="34" t="str">
        <f aca="false">Model!Z5</f>
        <v>Yes</v>
      </c>
      <c r="R5" s="44" t="n">
        <f aca="false">P5+IF(Q5="Yes",1000,0)-ROW()/10^6</f>
        <v>1073.36042128342</v>
      </c>
      <c r="S5" s="5" t="n">
        <f aca="false">RANK(R5,$R$5:$R$12)</f>
        <v>2</v>
      </c>
      <c r="T5" s="15" t="str">
        <f aca="false">INDEX($I$4:$O$4,MATCH(MAX(I5:O5),I5:O5,0))</f>
        <v>Demand score</v>
      </c>
      <c r="U5" s="15" t="str">
        <f aca="false">INDEX($I$4:$O$4,MATCH(MIN(I5:O5),I5:O5,0))</f>
        <v>Competition score</v>
      </c>
    </row>
    <row r="6" customFormat="false" ht="15" hidden="false" customHeight="false" outlineLevel="0" collapsed="false">
      <c r="A6" s="34" t="str">
        <f aca="false">Candidates!A6</f>
        <v>Marathahalli</v>
      </c>
      <c r="B6" s="36" t="n">
        <f aca="false">Model!L6</f>
        <v>22.228569397063</v>
      </c>
      <c r="C6" s="8" t="n">
        <f aca="false">Model!Y6</f>
        <v>-7.18237725319665</v>
      </c>
      <c r="D6" s="40" t="n">
        <f aca="false">Candidates!H6</f>
        <v>7</v>
      </c>
      <c r="E6" s="41" t="n">
        <f aca="false">Model!S6</f>
        <v>0.0809768711538328</v>
      </c>
      <c r="F6" s="40" t="n">
        <f aca="false">Candidates!J6</f>
        <v>6</v>
      </c>
      <c r="G6" s="39" t="n">
        <f aca="false">Model!P6</f>
        <v>0.0456016253265477</v>
      </c>
      <c r="H6" s="41" t="n">
        <f aca="false">Candidates!K6</f>
        <v>0.035</v>
      </c>
      <c r="I6" s="42" t="n">
        <f aca="false">IF(MAX($B$5:$B$12)=MIN($B$5:$B$12),100,100*(B6-MIN($B$5:$B$12))/(MAX($B$5:$B$12)-MIN($B$5:$B$12)))</f>
        <v>22.2732592004451</v>
      </c>
      <c r="J6" s="42" t="n">
        <f aca="false">IF(MAX($C$5:$C$12)=MIN($C$5:$C$12),100,100*(C6-MIN($C$5:$C$12))/(MAX($C$5:$C$12)-MIN($C$5:$C$12)))</f>
        <v>0</v>
      </c>
      <c r="K6" s="42" t="n">
        <f aca="false">IF(MAX($D$5:$D$12)=MIN($D$5:$D$12),100,100*(MAX($D$5:$D$12)-D6)/(MAX($D$5:$D$12)-MIN($D$5:$D$12)))</f>
        <v>0</v>
      </c>
      <c r="L6" s="42" t="n">
        <f aca="false">IF(MAX($E$5:$E$12)=MIN($E$5:$E$12),100,100*(MAX($E$5:$E$12)-E6)/(MAX($E$5:$E$12)-MIN($E$5:$E$12)))</f>
        <v>0</v>
      </c>
      <c r="M6" s="42" t="n">
        <f aca="false">IF(MAX($F$5:$F$12)=MIN($F$5:$F$12),100,100*(F6-MIN($F$5:$F$12))/(MAX($F$5:$F$12)-MIN($F$5:$F$12)))</f>
        <v>50</v>
      </c>
      <c r="N6" s="42" t="n">
        <f aca="false">IF(MAX($G$5:$G$12)=MIN($G$5:$G$12),100,100*(MAX($G$5:$G$12)-G6)/(MAX($G$5:$G$12)-MIN($G$5:$G$12)))</f>
        <v>76.7955391454467</v>
      </c>
      <c r="O6" s="42" t="n">
        <f aca="false">IF(MAX($H$5:$H$12)=MIN($H$5:$H$12),100,100*(H6-MIN($H$5:$H$12))/(MAX($H$5:$H$12)-MIN($H$5:$H$12)))</f>
        <v>0</v>
      </c>
      <c r="P6" s="43" t="n">
        <f aca="false">SUMPRODUCT(I6:O6,$I$3:$O$3)</f>
        <v>20.973982711906</v>
      </c>
      <c r="Q6" s="34" t="str">
        <f aca="false">Model!Z6</f>
        <v>No</v>
      </c>
      <c r="R6" s="44" t="n">
        <f aca="false">P6+IF(Q6="Yes",1000,0)-ROW()/10^6</f>
        <v>20.973976711906</v>
      </c>
      <c r="S6" s="5" t="n">
        <f aca="false">RANK(R6,$R$5:$R$12)</f>
        <v>8</v>
      </c>
      <c r="T6" s="15" t="str">
        <f aca="false">INDEX($I$4:$O$4,MATCH(MAX(I6:O6),I6:O6,0))</f>
        <v>Cannibalisation score</v>
      </c>
      <c r="U6" s="15" t="str">
        <f aca="false">INDEX($I$4:$O$4,MATCH(MIN(I6:O6),I6:O6,0))</f>
        <v>Profitability score</v>
      </c>
    </row>
    <row r="7" customFormat="false" ht="15" hidden="false" customHeight="false" outlineLevel="0" collapsed="false">
      <c r="A7" s="34" t="str">
        <f aca="false">Candidates!A7</f>
        <v>Bellandur</v>
      </c>
      <c r="B7" s="36" t="n">
        <f aca="false">Model!L7</f>
        <v>26.9066828412427</v>
      </c>
      <c r="C7" s="8" t="n">
        <f aca="false">Model!Y7</f>
        <v>-4.11512187088995</v>
      </c>
      <c r="D7" s="40" t="n">
        <f aca="false">Candidates!H7</f>
        <v>5</v>
      </c>
      <c r="E7" s="41" t="n">
        <f aca="false">Model!S7</f>
        <v>0.0579781613811133</v>
      </c>
      <c r="F7" s="40" t="n">
        <f aca="false">Candidates!J7</f>
        <v>4</v>
      </c>
      <c r="G7" s="39" t="n">
        <f aca="false">Model!P7</f>
        <v>0.196520943159942</v>
      </c>
      <c r="H7" s="41" t="n">
        <f aca="false">Candidates!K7</f>
        <v>0.05</v>
      </c>
      <c r="I7" s="42" t="n">
        <f aca="false">IF(MAX($B$5:$B$12)=MIN($B$5:$B$12),100,100*(B7-MIN($B$5:$B$12))/(MAX($B$5:$B$12)-MIN($B$5:$B$12)))</f>
        <v>65.7040467736278</v>
      </c>
      <c r="J7" s="42" t="n">
        <f aca="false">IF(MAX($C$5:$C$12)=MIN($C$5:$C$12),100,100*(C7-MIN($C$5:$C$12))/(MAX($C$5:$C$12)-MIN($C$5:$C$12)))</f>
        <v>23.3219469145334</v>
      </c>
      <c r="K7" s="42" t="n">
        <f aca="false">IF(MAX($D$5:$D$12)=MIN($D$5:$D$12),100,100*(MAX($D$5:$D$12)-D7)/(MAX($D$5:$D$12)-MIN($D$5:$D$12)))</f>
        <v>40</v>
      </c>
      <c r="L7" s="42" t="n">
        <f aca="false">IF(MAX($E$5:$E$12)=MIN($E$5:$E$12),100,100*(MAX($E$5:$E$12)-E7)/(MAX($E$5:$E$12)-MIN($E$5:$E$12)))</f>
        <v>42.1892464820113</v>
      </c>
      <c r="M7" s="42" t="n">
        <f aca="false">IF(MAX($F$5:$F$12)=MIN($F$5:$F$12),100,100*(F7-MIN($F$5:$F$12))/(MAX($F$5:$F$12)-MIN($F$5:$F$12)))</f>
        <v>0</v>
      </c>
      <c r="N7" s="42" t="n">
        <f aca="false">IF(MAX($G$5:$G$12)=MIN($G$5:$G$12),100,100*(MAX($G$5:$G$12)-G7)/(MAX($G$5:$G$12)-MIN($G$5:$G$12)))</f>
        <v>0</v>
      </c>
      <c r="O7" s="42" t="n">
        <f aca="false">IF(MAX($H$5:$H$12)=MIN($H$5:$H$12),100,100*(H7-MIN($H$5:$H$12))/(MAX($H$5:$H$12)-MIN($H$5:$H$12)))</f>
        <v>42.8571428571429</v>
      </c>
      <c r="P7" s="43" t="n">
        <f aca="false">SUMPRODUCT(I7:O7,$I$3:$O$3)</f>
        <v>30.4991752201438</v>
      </c>
      <c r="Q7" s="34" t="str">
        <f aca="false">Model!Z7</f>
        <v>No</v>
      </c>
      <c r="R7" s="44" t="n">
        <f aca="false">P7+IF(Q7="Yes",1000,0)-ROW()/10^6</f>
        <v>30.4991682201438</v>
      </c>
      <c r="S7" s="5" t="n">
        <f aca="false">RANK(R7,$R$5:$R$12)</f>
        <v>7</v>
      </c>
      <c r="T7" s="15" t="str">
        <f aca="false">INDEX($I$4:$O$4,MATCH(MAX(I7:O7),I7:O7,0))</f>
        <v>Demand score</v>
      </c>
      <c r="U7" s="15" t="str">
        <f aca="false">INDEX($I$4:$O$4,MATCH(MIN(I7:O7),I7:O7,0))</f>
        <v>Accessibility score</v>
      </c>
    </row>
    <row r="8" customFormat="false" ht="15" hidden="false" customHeight="false" outlineLevel="0" collapsed="false">
      <c r="A8" s="34" t="str">
        <f aca="false">Candidates!A8</f>
        <v>Sarjapur Road</v>
      </c>
      <c r="B8" s="36" t="n">
        <f aca="false">Model!L8</f>
        <v>27.2109561786167</v>
      </c>
      <c r="C8" s="8" t="n">
        <f aca="false">Model!Y8</f>
        <v>3.09252473730212</v>
      </c>
      <c r="D8" s="40" t="n">
        <f aca="false">Candidates!H8</f>
        <v>3</v>
      </c>
      <c r="E8" s="41" t="n">
        <f aca="false">Model!S8</f>
        <v>0.0418948894157513</v>
      </c>
      <c r="F8" s="40" t="n">
        <f aca="false">Candidates!J8</f>
        <v>5</v>
      </c>
      <c r="G8" s="39" t="n">
        <f aca="false">Model!P8</f>
        <v>0.104300860646665</v>
      </c>
      <c r="H8" s="41" t="n">
        <f aca="false">Candidates!K8</f>
        <v>0.07</v>
      </c>
      <c r="I8" s="42" t="n">
        <f aca="false">IF(MAX($B$5:$B$12)=MIN($B$5:$B$12),100,100*(B8-MIN($B$5:$B$12))/(MAX($B$5:$B$12)-MIN($B$5:$B$12)))</f>
        <v>68.5288672567897</v>
      </c>
      <c r="J8" s="42" t="n">
        <f aca="false">IF(MAX($C$5:$C$12)=MIN($C$5:$C$12),100,100*(C8-MIN($C$5:$C$12))/(MAX($C$5:$C$12)-MIN($C$5:$C$12)))</f>
        <v>78.1254538362676</v>
      </c>
      <c r="K8" s="42" t="n">
        <f aca="false">IF(MAX($D$5:$D$12)=MIN($D$5:$D$12),100,100*(MAX($D$5:$D$12)-D8)/(MAX($D$5:$D$12)-MIN($D$5:$D$12)))</f>
        <v>80</v>
      </c>
      <c r="L8" s="42" t="n">
        <f aca="false">IF(MAX($E$5:$E$12)=MIN($E$5:$E$12),100,100*(MAX($E$5:$E$12)-E8)/(MAX($E$5:$E$12)-MIN($E$5:$E$12)))</f>
        <v>71.6926895833609</v>
      </c>
      <c r="M8" s="42" t="n">
        <f aca="false">IF(MAX($F$5:$F$12)=MIN($F$5:$F$12),100,100*(F8-MIN($F$5:$F$12))/(MAX($F$5:$F$12)-MIN($F$5:$F$12)))</f>
        <v>25</v>
      </c>
      <c r="N8" s="42" t="n">
        <f aca="false">IF(MAX($G$5:$G$12)=MIN($G$5:$G$12),100,100*(MAX($G$5:$G$12)-G8)/(MAX($G$5:$G$12)-MIN($G$5:$G$12)))</f>
        <v>46.9263382469226</v>
      </c>
      <c r="O8" s="42" t="n">
        <f aca="false">IF(MAX($H$5:$H$12)=MIN($H$5:$H$12),100,100*(H8-MIN($H$5:$H$12))/(MAX($H$5:$H$12)-MIN($H$5:$H$12)))</f>
        <v>100</v>
      </c>
      <c r="P8" s="43" t="n">
        <f aca="false">SUMPRODUCT(I8:O8,$I$3:$O$3)</f>
        <v>66.8516292976127</v>
      </c>
      <c r="Q8" s="34" t="str">
        <f aca="false">Model!Z8</f>
        <v>Yes</v>
      </c>
      <c r="R8" s="44" t="n">
        <f aca="false">P8+IF(Q8="Yes",1000,0)-ROW()/10^6</f>
        <v>1066.85162129761</v>
      </c>
      <c r="S8" s="5" t="n">
        <f aca="false">RANK(R8,$R$5:$R$12)</f>
        <v>3</v>
      </c>
      <c r="T8" s="15" t="str">
        <f aca="false">INDEX($I$4:$O$4,MATCH(MAX(I8:O8),I8:O8,0))</f>
        <v>Growth score</v>
      </c>
      <c r="U8" s="15" t="str">
        <f aca="false">INDEX($I$4:$O$4,MATCH(MIN(I8:O8),I8:O8,0))</f>
        <v>Accessibility score</v>
      </c>
    </row>
    <row r="9" customFormat="false" ht="15" hidden="false" customHeight="false" outlineLevel="0" collapsed="false">
      <c r="A9" s="34" t="str">
        <f aca="false">Candidates!A9</f>
        <v>Hebbal</v>
      </c>
      <c r="B9" s="36" t="n">
        <f aca="false">Model!L9</f>
        <v>26.9360331000581</v>
      </c>
      <c r="C9" s="8" t="n">
        <f aca="false">Model!Y9</f>
        <v>-2.85163667613964</v>
      </c>
      <c r="D9" s="40" t="n">
        <f aca="false">Candidates!H9</f>
        <v>4</v>
      </c>
      <c r="E9" s="41" t="n">
        <f aca="false">Model!S9</f>
        <v>0.0534599877662348</v>
      </c>
      <c r="F9" s="40" t="n">
        <f aca="false">Candidates!J9</f>
        <v>7</v>
      </c>
      <c r="G9" s="39" t="n">
        <f aca="false">Model!P9</f>
        <v>0.150015238418162</v>
      </c>
      <c r="H9" s="41" t="n">
        <f aca="false">Candidates!K9</f>
        <v>0.04</v>
      </c>
      <c r="I9" s="42" t="n">
        <f aca="false">IF(MAX($B$5:$B$12)=MIN($B$5:$B$12),100,100*(B9-MIN($B$5:$B$12))/(MAX($B$5:$B$12)-MIN($B$5:$B$12)))</f>
        <v>65.9765294466198</v>
      </c>
      <c r="J9" s="42" t="n">
        <f aca="false">IF(MAX($C$5:$C$12)=MIN($C$5:$C$12),100,100*(C9-MIN($C$5:$C$12))/(MAX($C$5:$C$12)-MIN($C$5:$C$12)))</f>
        <v>32.9288856811075</v>
      </c>
      <c r="K9" s="42" t="n">
        <f aca="false">IF(MAX($D$5:$D$12)=MIN($D$5:$D$12),100,100*(MAX($D$5:$D$12)-D9)/(MAX($D$5:$D$12)-MIN($D$5:$D$12)))</f>
        <v>60</v>
      </c>
      <c r="L9" s="42" t="n">
        <f aca="false">IF(MAX($E$5:$E$12)=MIN($E$5:$E$12),100,100*(MAX($E$5:$E$12)-E9)/(MAX($E$5:$E$12)-MIN($E$5:$E$12)))</f>
        <v>50.4774653503905</v>
      </c>
      <c r="M9" s="42" t="n">
        <f aca="false">IF(MAX($F$5:$F$12)=MIN($F$5:$F$12),100,100*(F9-MIN($F$5:$F$12))/(MAX($F$5:$F$12)-MIN($F$5:$F$12)))</f>
        <v>75</v>
      </c>
      <c r="N9" s="42" t="n">
        <f aca="false">IF(MAX($G$5:$G$12)=MIN($G$5:$G$12),100,100*(MAX($G$5:$G$12)-G9)/(MAX($G$5:$G$12)-MIN($G$5:$G$12)))</f>
        <v>23.6645031282646</v>
      </c>
      <c r="O9" s="42" t="n">
        <f aca="false">IF(MAX($H$5:$H$12)=MIN($H$5:$H$12),100,100*(H9-MIN($H$5:$H$12))/(MAX($H$5:$H$12)-MIN($H$5:$H$12)))</f>
        <v>14.2857142857143</v>
      </c>
      <c r="P9" s="43" t="n">
        <f aca="false">SUMPRODUCT(I9:O9,$I$3:$O$3)</f>
        <v>45.8856793122207</v>
      </c>
      <c r="Q9" s="34" t="str">
        <f aca="false">Model!Z9</f>
        <v>No</v>
      </c>
      <c r="R9" s="44" t="n">
        <f aca="false">P9+IF(Q9="Yes",1000,0)-ROW()/10^6</f>
        <v>45.8856703122207</v>
      </c>
      <c r="S9" s="5" t="n">
        <f aca="false">RANK(R9,$R$5:$R$12)</f>
        <v>6</v>
      </c>
      <c r="T9" s="15" t="str">
        <f aca="false">INDEX($I$4:$O$4,MATCH(MAX(I9:O9),I9:O9,0))</f>
        <v>Accessibility score</v>
      </c>
      <c r="U9" s="15" t="str">
        <f aca="false">INDEX($I$4:$O$4,MATCH(MIN(I9:O9),I9:O9,0))</f>
        <v>Growth score</v>
      </c>
    </row>
    <row r="10" customFormat="false" ht="15" hidden="false" customHeight="false" outlineLevel="0" collapsed="false">
      <c r="A10" s="34" t="str">
        <f aca="false">Candidates!A10</f>
        <v>Electronic City</v>
      </c>
      <c r="B10" s="36" t="n">
        <f aca="false">Model!L10</f>
        <v>23.0505639708836</v>
      </c>
      <c r="C10" s="8" t="n">
        <f aca="false">Model!Y10</f>
        <v>1.26267071392214</v>
      </c>
      <c r="D10" s="40" t="n">
        <f aca="false">Candidates!H10</f>
        <v>4</v>
      </c>
      <c r="E10" s="41" t="n">
        <f aca="false">Model!S10</f>
        <v>0.0390445978300938</v>
      </c>
      <c r="F10" s="40" t="n">
        <f aca="false">Candidates!J10</f>
        <v>7</v>
      </c>
      <c r="G10" s="39" t="n">
        <f aca="false">Model!P10</f>
        <v>0.0213245299283463</v>
      </c>
      <c r="H10" s="41" t="n">
        <f aca="false">Candidates!K10</f>
        <v>0.05</v>
      </c>
      <c r="I10" s="42" t="n">
        <f aca="false">IF(MAX($B$5:$B$12)=MIN($B$5:$B$12),100,100*(B10-MIN($B$5:$B$12))/(MAX($B$5:$B$12)-MIN($B$5:$B$12)))</f>
        <v>29.9045131552479</v>
      </c>
      <c r="J10" s="42" t="n">
        <f aca="false">IF(MAX($C$5:$C$12)=MIN($C$5:$C$12),100,100*(C10-MIN($C$5:$C$12))/(MAX($C$5:$C$12)-MIN($C$5:$C$12)))</f>
        <v>64.2121166421148</v>
      </c>
      <c r="K10" s="42" t="n">
        <f aca="false">IF(MAX($D$5:$D$12)=MIN($D$5:$D$12),100,100*(MAX($D$5:$D$12)-D10)/(MAX($D$5:$D$12)-MIN($D$5:$D$12)))</f>
        <v>60</v>
      </c>
      <c r="L10" s="42" t="n">
        <f aca="false">IF(MAX($E$5:$E$12)=MIN($E$5:$E$12),100,100*(MAX($E$5:$E$12)-E10)/(MAX($E$5:$E$12)-MIN($E$5:$E$12)))</f>
        <v>76.9213156863585</v>
      </c>
      <c r="M10" s="42" t="n">
        <f aca="false">IF(MAX($F$5:$F$12)=MIN($F$5:$F$12),100,100*(F10-MIN($F$5:$F$12))/(MAX($F$5:$F$12)-MIN($F$5:$F$12)))</f>
        <v>75</v>
      </c>
      <c r="N10" s="42" t="n">
        <f aca="false">IF(MAX($G$5:$G$12)=MIN($G$5:$G$12),100,100*(MAX($G$5:$G$12)-G10)/(MAX($G$5:$G$12)-MIN($G$5:$G$12)))</f>
        <v>89.1489784317842</v>
      </c>
      <c r="O10" s="42" t="n">
        <f aca="false">IF(MAX($H$5:$H$12)=MIN($H$5:$H$12),100,100*(H10-MIN($H$5:$H$12))/(MAX($H$5:$H$12)-MIN($H$5:$H$12)))</f>
        <v>42.8571428571429</v>
      </c>
      <c r="P10" s="43" t="n">
        <f aca="false">SUMPRODUCT(I10:O10,$I$3:$O$3)</f>
        <v>61.9518730999447</v>
      </c>
      <c r="Q10" s="34" t="str">
        <f aca="false">Model!Z10</f>
        <v>Yes</v>
      </c>
      <c r="R10" s="44" t="n">
        <f aca="false">P10+IF(Q10="Yes",1000,0)-ROW()/10^6</f>
        <v>1061.95186309994</v>
      </c>
      <c r="S10" s="5" t="n">
        <f aca="false">RANK(R10,$R$5:$R$12)</f>
        <v>4</v>
      </c>
      <c r="T10" s="15" t="str">
        <f aca="false">INDEX($I$4:$O$4,MATCH(MAX(I10:O10),I10:O10,0))</f>
        <v>Cannibalisation score</v>
      </c>
      <c r="U10" s="15" t="str">
        <f aca="false">INDEX($I$4:$O$4,MATCH(MIN(I10:O10),I10:O10,0))</f>
        <v>Demand score</v>
      </c>
    </row>
    <row r="11" customFormat="false" ht="15" hidden="false" customHeight="false" outlineLevel="0" collapsed="false">
      <c r="A11" s="34" t="str">
        <f aca="false">Candidates!A11</f>
        <v>Kanakapura Road</v>
      </c>
      <c r="B11" s="36" t="n">
        <f aca="false">Model!L11</f>
        <v>29.4743725248482</v>
      </c>
      <c r="C11" s="8" t="n">
        <f aca="false">Model!Y11</f>
        <v>5.96942089447559</v>
      </c>
      <c r="D11" s="40" t="n">
        <f aca="false">Candidates!H11</f>
        <v>2</v>
      </c>
      <c r="E11" s="41" t="n">
        <f aca="false">Model!S11</f>
        <v>0.0264636676944496</v>
      </c>
      <c r="F11" s="40" t="n">
        <f aca="false">Candidates!J11</f>
        <v>8</v>
      </c>
      <c r="G11" s="39" t="n">
        <f aca="false">Model!P11</f>
        <v>0.111869053183063</v>
      </c>
      <c r="H11" s="41" t="n">
        <f aca="false">Candidates!K11</f>
        <v>0.055</v>
      </c>
      <c r="I11" s="42" t="n">
        <f aca="false">IF(MAX($B$5:$B$12)=MIN($B$5:$B$12),100,100*(B11-MIN($B$5:$B$12))/(MAX($B$5:$B$12)-MIN($B$5:$B$12)))</f>
        <v>89.5420290143685</v>
      </c>
      <c r="J11" s="42" t="n">
        <f aca="false">IF(MAX($C$5:$C$12)=MIN($C$5:$C$12),100,100*(C11-MIN($C$5:$C$12))/(MAX($C$5:$C$12)-MIN($C$5:$C$12)))</f>
        <v>100</v>
      </c>
      <c r="K11" s="42" t="n">
        <f aca="false">IF(MAX($D$5:$D$12)=MIN($D$5:$D$12),100,100*(MAX($D$5:$D$12)-D11)/(MAX($D$5:$D$12)-MIN($D$5:$D$12)))</f>
        <v>100</v>
      </c>
      <c r="L11" s="42" t="n">
        <f aca="false">IF(MAX($E$5:$E$12)=MIN($E$5:$E$12),100,100*(MAX($E$5:$E$12)-E11)/(MAX($E$5:$E$12)-MIN($E$5:$E$12)))</f>
        <v>100</v>
      </c>
      <c r="M11" s="42" t="n">
        <f aca="false">IF(MAX($F$5:$F$12)=MIN($F$5:$F$12),100,100*(F11-MIN($F$5:$F$12))/(MAX($F$5:$F$12)-MIN($F$5:$F$12)))</f>
        <v>100</v>
      </c>
      <c r="N11" s="42" t="n">
        <f aca="false">IF(MAX($G$5:$G$12)=MIN($G$5:$G$12),100,100*(MAX($G$5:$G$12)-G11)/(MAX($G$5:$G$12)-MIN($G$5:$G$12)))</f>
        <v>43.0752512255061</v>
      </c>
      <c r="O11" s="42" t="n">
        <f aca="false">IF(MAX($H$5:$H$12)=MIN($H$5:$H$12),100,100*(H11-MIN($H$5:$H$12))/(MAX($H$5:$H$12)-MIN($H$5:$H$12)))</f>
        <v>57.1428571428571</v>
      </c>
      <c r="P11" s="43" t="n">
        <f aca="false">SUMPRODUCT(I11:O11,$I$3:$O$3)</f>
        <v>87.2268363438425</v>
      </c>
      <c r="Q11" s="34" t="str">
        <f aca="false">Model!Z11</f>
        <v>Yes</v>
      </c>
      <c r="R11" s="44" t="n">
        <f aca="false">P11+IF(Q11="Yes",1000,0)-ROW()/10^6</f>
        <v>1087.22682534384</v>
      </c>
      <c r="S11" s="5" t="n">
        <f aca="false">RANK(R11,$R$5:$R$12)</f>
        <v>1</v>
      </c>
      <c r="T11" s="15" t="str">
        <f aca="false">INDEX($I$4:$O$4,MATCH(MAX(I11:O11),I11:O11,0))</f>
        <v>Profitability score</v>
      </c>
      <c r="U11" s="15" t="str">
        <f aca="false">INDEX($I$4:$O$4,MATCH(MIN(I11:O11),I11:O11,0))</f>
        <v>Cannibalisation score</v>
      </c>
    </row>
    <row r="12" customFormat="false" ht="15" hidden="false" customHeight="false" outlineLevel="0" collapsed="false">
      <c r="A12" s="34" t="str">
        <f aca="false">Candidates!A12</f>
        <v>Yelahanka</v>
      </c>
      <c r="B12" s="36" t="n">
        <f aca="false">Model!L12</f>
        <v>19.8294226365829</v>
      </c>
      <c r="C12" s="8" t="n">
        <f aca="false">Model!Y12</f>
        <v>-1.25981255853019</v>
      </c>
      <c r="D12" s="40" t="n">
        <f aca="false">Candidates!H12</f>
        <v>2</v>
      </c>
      <c r="E12" s="41" t="n">
        <f aca="false">Model!S12</f>
        <v>0.0423612938911445</v>
      </c>
      <c r="F12" s="40" t="n">
        <f aca="false">Candidates!J12</f>
        <v>6</v>
      </c>
      <c r="G12" s="39" t="n">
        <f aca="false">Model!P12</f>
        <v>0</v>
      </c>
      <c r="H12" s="41" t="n">
        <f aca="false">Candidates!K12</f>
        <v>0.045</v>
      </c>
      <c r="I12" s="42" t="n">
        <f aca="false">IF(MAX($B$5:$B$12)=MIN($B$5:$B$12),100,100*(B12-MIN($B$5:$B$12))/(MAX($B$5:$B$12)-MIN($B$5:$B$12)))</f>
        <v>0</v>
      </c>
      <c r="J12" s="42" t="n">
        <f aca="false">IF(MAX($C$5:$C$12)=MIN($C$5:$C$12),100,100*(C12-MIN($C$5:$C$12))/(MAX($C$5:$C$12)-MIN($C$5:$C$12)))</f>
        <v>45.0323570067467</v>
      </c>
      <c r="K12" s="42" t="n">
        <f aca="false">IF(MAX($D$5:$D$12)=MIN($D$5:$D$12),100,100*(MAX($D$5:$D$12)-D12)/(MAX($D$5:$D$12)-MIN($D$5:$D$12)))</f>
        <v>100</v>
      </c>
      <c r="L12" s="42" t="n">
        <f aca="false">IF(MAX($E$5:$E$12)=MIN($E$5:$E$12),100,100*(MAX($E$5:$E$12)-E12)/(MAX($E$5:$E$12)-MIN($E$5:$E$12)))</f>
        <v>70.8371088326521</v>
      </c>
      <c r="M12" s="42" t="n">
        <f aca="false">IF(MAX($F$5:$F$12)=MIN($F$5:$F$12),100,100*(F12-MIN($F$5:$F$12))/(MAX($F$5:$F$12)-MIN($F$5:$F$12)))</f>
        <v>50</v>
      </c>
      <c r="N12" s="42" t="n">
        <f aca="false">IF(MAX($G$5:$G$12)=MIN($G$5:$G$12),100,100*(MAX($G$5:$G$12)-G12)/(MAX($G$5:$G$12)-MIN($G$5:$G$12)))</f>
        <v>100</v>
      </c>
      <c r="O12" s="42" t="n">
        <f aca="false">IF(MAX($H$5:$H$12)=MIN($H$5:$H$12),100,100*(H12-MIN($H$5:$H$12))/(MAX($H$5:$H$12)-MIN($H$5:$H$12)))</f>
        <v>28.5714285714286</v>
      </c>
      <c r="P12" s="43" t="n">
        <f aca="false">SUMPRODUCT(I12:O12,$I$3:$O$3)</f>
        <v>52.0219894138607</v>
      </c>
      <c r="Q12" s="34" t="str">
        <f aca="false">Model!Z12</f>
        <v>No</v>
      </c>
      <c r="R12" s="44" t="n">
        <f aca="false">P12+IF(Q12="Yes",1000,0)-ROW()/10^6</f>
        <v>52.0219774138607</v>
      </c>
      <c r="S12" s="5" t="n">
        <f aca="false">RANK(R12,$R$5:$R$12)</f>
        <v>5</v>
      </c>
      <c r="T12" s="15" t="str">
        <f aca="false">INDEX($I$4:$O$4,MATCH(MAX(I12:O12),I12:O12,0))</f>
        <v>Competition score</v>
      </c>
      <c r="U12" s="15" t="str">
        <f aca="false">INDEX($I$4:$O$4,MATCH(MIN(I12:O12),I12:O12,0))</f>
        <v>Demand score</v>
      </c>
    </row>
  </sheetData>
  <conditionalFormatting sqref="I5:O12">
    <cfRule type="expression" priority="2" aboveAverage="0" equalAverage="0" bottom="0" percent="0" rank="0" text="" dxfId="0">
      <formula>I5&gt;=70</formula>
    </cfRule>
    <cfRule type="expression" priority="3" aboveAverage="0" equalAverage="0" bottom="0" percent="0" rank="0" text="" dxfId="2">
      <formula>I5&lt;=30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2026-10-28T14:07:51Z</dcterms:created>
  <dc:creator>openpyxl</dc:creator>
  <dc:description/>
  <dc:language>en-US</dc:language>
  <cp:lastModifiedBy/>
  <dcterms:modified xsi:type="dcterms:W3CDTF">2026-10-28T14:07:51Z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